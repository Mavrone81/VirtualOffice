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Associate Master" sheetId="2" r:id="rId6"/>
    <sheet state="visible" name="Contacts Export" sheetId="3" r:id="rId7"/>
    <sheet state="visible" name="Commission Structure" sheetId="4" r:id="rId8"/>
    <sheet state="visible" name="Sales Transactions" sheetId="5" r:id="rId9"/>
    <sheet state="visible" name="Commission Ledger" sheetId="6" r:id="rId10"/>
    <sheet state="visible" name="Monthly Payout" sheetId="7" r:id="rId11"/>
    <sheet state="visible" name="Archive" sheetId="8" r:id="rId12"/>
  </sheets>
  <definedNames/>
  <calcPr/>
</workbook>
</file>

<file path=xl/sharedStrings.xml><?xml version="1.0" encoding="utf-8"?>
<sst xmlns="http://schemas.openxmlformats.org/spreadsheetml/2006/main" count="1551" uniqueCount="94">
  <si>
    <t>Timestamp</t>
  </si>
  <si>
    <t>Associate Full Name</t>
  </si>
  <si>
    <t>Associate Business Name</t>
  </si>
  <si>
    <t>Mobile Number</t>
  </si>
  <si>
    <t>Email Address</t>
  </si>
  <si>
    <t>NRIC No.</t>
  </si>
  <si>
    <t>Date of Birth</t>
  </si>
  <si>
    <t>Designation</t>
  </si>
  <si>
    <t>Direct Upline ID</t>
  </si>
  <si>
    <t>Direct Upline Name</t>
  </si>
  <si>
    <t>2nd Upline ID</t>
  </si>
  <si>
    <t>2nd Upline Name</t>
  </si>
  <si>
    <t>Recruiting Manager</t>
  </si>
  <si>
    <t>Team Name</t>
  </si>
  <si>
    <t>Payment Method</t>
  </si>
  <si>
    <t>PayNow Number</t>
  </si>
  <si>
    <t>Bank Name</t>
  </si>
  <si>
    <t>Bank Account Number</t>
  </si>
  <si>
    <t>Associate Agreement Upload</t>
  </si>
  <si>
    <t>Join Date</t>
  </si>
  <si>
    <t>Remarks</t>
  </si>
  <si>
    <t>Sylvia Lee Chee Wei</t>
  </si>
  <si>
    <t>Sylvia Lee</t>
  </si>
  <si>
    <t>sylvia.lee.cx@gmail.com</t>
  </si>
  <si>
    <t xml:space="preserve">S2184892A </t>
  </si>
  <si>
    <t>Sales Director</t>
  </si>
  <si>
    <t>-</t>
  </si>
  <si>
    <t>Angeline Teo</t>
  </si>
  <si>
    <t>Sylvia Lee Division</t>
  </si>
  <si>
    <t>PayNow</t>
  </si>
  <si>
    <t>https://drive.google.com/open?id=1gujh1fuun0mm9g3pCZvnEDCZr661DYIL</t>
  </si>
  <si>
    <t>LIM XIONG</t>
  </si>
  <si>
    <t>VINCENT LIM</t>
  </si>
  <si>
    <t>petafterlifesg@gmail.com</t>
  </si>
  <si>
    <t xml:space="preserve">S8017722D </t>
  </si>
  <si>
    <t>Vincent Lim Division</t>
  </si>
  <si>
    <t>https://drive.google.com/open?id=1UtyQVf1rOM6IbuGhpaaX88Kyc97qjzOq</t>
  </si>
  <si>
    <t>JENNIFER RK (UMA DEVI RAJA KRISHNAN)</t>
  </si>
  <si>
    <t>JENNIFER RK</t>
  </si>
  <si>
    <t>uma.devi.jennifer@gmail.com</t>
  </si>
  <si>
    <t xml:space="preserve">S7703318A </t>
  </si>
  <si>
    <t>Sales Consultant</t>
  </si>
  <si>
    <t>EN0002</t>
  </si>
  <si>
    <t>Lim Xiong</t>
  </si>
  <si>
    <t>https://drive.google.com/open?id=1yVcPH36befd07zcPy71V3SSgeDEZOVvZ</t>
  </si>
  <si>
    <t>LEE JONG SENG</t>
  </si>
  <si>
    <t>JOHN LEE</t>
  </si>
  <si>
    <t>johnlee@mobilebellator.com</t>
  </si>
  <si>
    <t xml:space="preserve">S6807723J </t>
  </si>
  <si>
    <t>https://drive.google.com/open?id=1Njsr48-VqLMGg3vsgu3iPKc74cXN8MvU</t>
  </si>
  <si>
    <t>LIM WAI LEE</t>
  </si>
  <si>
    <t>limwailee8200@gmail.com</t>
  </si>
  <si>
    <t>S7013454C</t>
  </si>
  <si>
    <t>https://drive.google.com/open?id=1KDRY9oN7sPlD1dAYkllIJ5Uo49IUKI0p</t>
  </si>
  <si>
    <t>Yan Bai Xiang</t>
  </si>
  <si>
    <t>alexsyanbaixiang@gmail.com</t>
  </si>
  <si>
    <t xml:space="preserve">S9019702I </t>
  </si>
  <si>
    <t>https://drive.google.com/open?id=1HL0OgE2vh2y7OJd7pGOzK2QFJosdWQls</t>
  </si>
  <si>
    <t>Koo Hok Kian</t>
  </si>
  <si>
    <t>Frances Koo</t>
  </si>
  <si>
    <t>franceskoohk@gmail.com</t>
  </si>
  <si>
    <t>S6910693E</t>
  </si>
  <si>
    <t>Sales Manager</t>
  </si>
  <si>
    <t>EN0001</t>
  </si>
  <si>
    <t>https://drive.google.com/open?id=12DDMBPrqauU9VdkodY6Gvrz-tc82IGh0</t>
  </si>
  <si>
    <t>Associate ID</t>
  </si>
  <si>
    <t>Approval Status</t>
  </si>
  <si>
    <t>Associate Status</t>
  </si>
  <si>
    <t>Approved</t>
  </si>
  <si>
    <t>Active</t>
  </si>
  <si>
    <t>Vincent Lim</t>
  </si>
  <si>
    <t>EN0003</t>
  </si>
  <si>
    <t>Jennifer Rk (Uma Devi Raja Krishnan)</t>
  </si>
  <si>
    <t>Jennifer Rk</t>
  </si>
  <si>
    <t>EN0004</t>
  </si>
  <si>
    <t>Lee Jong Seng</t>
  </si>
  <si>
    <t>John Lee</t>
  </si>
  <si>
    <t>EN0005</t>
  </si>
  <si>
    <t>Lim Wai Lee</t>
  </si>
  <si>
    <t/>
  </si>
  <si>
    <t>EN0006</t>
  </si>
  <si>
    <t>Pending</t>
  </si>
  <si>
    <t>Inactive</t>
  </si>
  <si>
    <t>EN0007</t>
  </si>
  <si>
    <t>Email</t>
  </si>
  <si>
    <t>Product Code</t>
  </si>
  <si>
    <t>Product Name</t>
  </si>
  <si>
    <t>Product Category</t>
  </si>
  <si>
    <t>Commission Type</t>
  </si>
  <si>
    <t>Closing Comm</t>
  </si>
  <si>
    <t>Company Cut</t>
  </si>
  <si>
    <t>Direct Upline Override</t>
  </si>
  <si>
    <t>Company Retained</t>
  </si>
  <si>
    <t>Active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</si>
</sst>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Roboto"/>
    </font>
    <font>
      <b/>
      <sz val="10.0"/>
      <color theme="1"/>
      <name val="Roboto"/>
    </font>
    <font>
      <b/>
      <sz val="10.0"/>
      <color theme="0"/>
      <name val="Arial"/>
      <scheme val="minor"/>
    </font>
    <font>
      <sz val="10.0"/>
      <color rgb="FF000000"/>
      <name val="Roboto"/>
    </font>
    <font>
      <sz val="10.0"/>
      <color theme="1"/>
      <name val="Roboto"/>
    </font>
    <font>
      <b/>
      <sz val="10.0"/>
      <color rgb="FFFFFFFF"/>
      <name val="Roboto"/>
    </font>
    <font>
      <b/>
      <sz val="10.0"/>
      <color theme="0"/>
      <name val="Roboto"/>
    </font>
    <font>
      <color rgb="FF000000"/>
      <name val="Arial"/>
      <scheme val="minor"/>
    </font>
    <font>
      <b/>
      <color rgb="FFFFFFFF"/>
      <name val="Roboto"/>
    </font>
    <font>
      <b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01992"/>
        <bgColor rgb="FF001992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0" numFmtId="0" xfId="0" applyAlignment="1" applyFont="1">
      <alignment horizontal="center" shrinkToFit="0" vertical="center" wrapText="0"/>
    </xf>
    <xf borderId="0" fillId="0" fontId="0" numFmtId="165" xfId="0" applyAlignment="1" applyFont="1" applyNumberFormat="1">
      <alignment horizontal="center"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0" fillId="2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3" fontId="10" numFmtId="0" xfId="0" applyAlignment="1" applyFill="1" applyFont="1">
      <alignment horizontal="center"/>
    </xf>
    <xf borderId="0" fillId="0" fontId="8" numFmtId="14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3" fontId="1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1992"/>
          <bgColor rgb="FF00199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001992"/>
        </left>
        <right style="thin">
          <color rgb="FF001992"/>
        </right>
        <top style="thin">
          <color rgb="FF001992"/>
        </top>
        <bottom style="thin">
          <color rgb="FF001992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ociate 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8" displayName="Form_Responses" name="Form_Responses" id="1">
  <tableColumns count="21">
    <tableColumn name="Timestamp" id="1"/>
    <tableColumn name="Associate Full Name" id="2"/>
    <tableColumn name="Associate Business Name" id="3"/>
    <tableColumn name="Mobile Number" id="4"/>
    <tableColumn name="Email Address" id="5"/>
    <tableColumn name="NRIC No." id="6"/>
    <tableColumn name="Date of Birth" id="7"/>
    <tableColumn name="Designation" id="8"/>
    <tableColumn name="Direct Upline ID" id="9"/>
    <tableColumn name="Direct Upline Name" id="10"/>
    <tableColumn name="2nd Upline ID" id="11"/>
    <tableColumn name="2nd Upline Name" id="12"/>
    <tableColumn name="Recruiting Manager" id="13"/>
    <tableColumn name="Team Name" id="14"/>
    <tableColumn name="Payment Method" id="15"/>
    <tableColumn name="PayNow Number" id="16"/>
    <tableColumn name="Bank Name" id="17"/>
    <tableColumn name="Bank Account Number" id="18"/>
    <tableColumn name="Associate Agreement Upload" id="19"/>
    <tableColumn name="Join Date" id="20"/>
    <tableColumn name="Remarks" id="21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X8" displayName="Table1" name="Table1" id="2">
  <tableColumns count="24">
    <tableColumn name="Associate ID" id="1"/>
    <tableColumn name="Timestamp" id="2"/>
    <tableColumn name="Associate Full Name" id="3"/>
    <tableColumn name="Associate Business Name" id="4"/>
    <tableColumn name="Mobile Number" id="5"/>
    <tableColumn name="Email Address" id="6"/>
    <tableColumn name="NRIC No." id="7"/>
    <tableColumn name="Date of Birth" id="8"/>
    <tableColumn name="Designation" id="9"/>
    <tableColumn name="Direct Upline ID" id="10"/>
    <tableColumn name="Direct Upline Name" id="11"/>
    <tableColumn name="2nd Upline ID" id="12"/>
    <tableColumn name="2nd Upline Name" id="13"/>
    <tableColumn name="Recruiting Manager" id="14"/>
    <tableColumn name="Team Name" id="15"/>
    <tableColumn name="Payment Method" id="16"/>
    <tableColumn name="PayNow Number" id="17"/>
    <tableColumn name="Bank Name" id="18"/>
    <tableColumn name="Bank Account Number" id="19"/>
    <tableColumn name="Associate Agreement Upload" id="20"/>
    <tableColumn name="Join Date" id="21"/>
    <tableColumn name="Remarks" id="22"/>
    <tableColumn name="Approval Status" id="23"/>
    <tableColumn name="Associate Status" id="24"/>
  </tableColumns>
  <tableStyleInfo name="Associate 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gujh1fuun0mm9g3pCZvnEDCZr661DYIL" TargetMode="External"/><Relationship Id="rId2" Type="http://schemas.openxmlformats.org/officeDocument/2006/relationships/hyperlink" Target="https://drive.google.com/open?id=1UtyQVf1rOM6IbuGhpaaX88Kyc97qjzOq" TargetMode="External"/><Relationship Id="rId3" Type="http://schemas.openxmlformats.org/officeDocument/2006/relationships/hyperlink" Target="https://drive.google.com/open?id=1yVcPH36befd07zcPy71V3SSgeDEZOVvZ" TargetMode="External"/><Relationship Id="rId4" Type="http://schemas.openxmlformats.org/officeDocument/2006/relationships/hyperlink" Target="https://drive.google.com/open?id=1Njsr48-VqLMGg3vsgu3iPKc74cXN8MvU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rive.google.com/open?id=1KDRY9oN7sPlD1dAYkllIJ5Uo49IUKI0p" TargetMode="External"/><Relationship Id="rId6" Type="http://schemas.openxmlformats.org/officeDocument/2006/relationships/hyperlink" Target="https://drive.google.com/open?id=1HL0OgE2vh2y7OJd7pGOzK2QFJosdWQls" TargetMode="External"/><Relationship Id="rId7" Type="http://schemas.openxmlformats.org/officeDocument/2006/relationships/hyperlink" Target="https://drive.google.com/open?id=12DDMBPrqauU9VdkodY6Gvrz-tc82IGh0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gujh1fuun0mm9g3pCZvnEDCZr661DYIL" TargetMode="External"/><Relationship Id="rId2" Type="http://schemas.openxmlformats.org/officeDocument/2006/relationships/hyperlink" Target="https://drive.google.com/open?id=1UtyQVf1rOM6IbuGhpaaX88Kyc97qjzOq" TargetMode="External"/><Relationship Id="rId3" Type="http://schemas.openxmlformats.org/officeDocument/2006/relationships/hyperlink" Target="https://drive.google.com/open?id=1yVcPH36befd07zcPy71V3SSgeDEZOVvZ" TargetMode="External"/><Relationship Id="rId4" Type="http://schemas.openxmlformats.org/officeDocument/2006/relationships/hyperlink" Target="https://drive.google.com/open?id=1Njsr48-VqLMGg3vsgu3iPKc74cXN8MvU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s://drive.google.com/open?id=1KDRY9oN7sPlD1dAYkllIJ5Uo49IUKI0p" TargetMode="External"/><Relationship Id="rId6" Type="http://schemas.openxmlformats.org/officeDocument/2006/relationships/hyperlink" Target="https://drive.google.com/open?id=1HL0OgE2vh2y7OJd7pGOzK2QFJosdWQls" TargetMode="External"/><Relationship Id="rId7" Type="http://schemas.openxmlformats.org/officeDocument/2006/relationships/hyperlink" Target="https://drive.google.com/open?id=12DDMBPrqauU9VdkodY6Gvrz-tc82IGh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5.13"/>
    <col customWidth="1" min="7" max="7" width="18.88"/>
    <col customWidth="1" min="8" max="8" width="25.13"/>
    <col customWidth="1" min="9" max="9" width="18.88"/>
    <col customWidth="1" min="10" max="10" width="25.13"/>
    <col customWidth="1" min="11" max="11" width="18.88"/>
    <col customWidth="1" min="12" max="21" width="25.13"/>
    <col customWidth="1" min="22" max="27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  <c r="AA1" s="3"/>
    </row>
    <row r="2" ht="22.5" customHeight="1">
      <c r="A2" s="4">
        <v>46167.96850549769</v>
      </c>
      <c r="B2" s="5" t="s">
        <v>21</v>
      </c>
      <c r="C2" s="5" t="s">
        <v>22</v>
      </c>
      <c r="D2" s="5">
        <v>9.6671881E7</v>
      </c>
      <c r="E2" s="5" t="s">
        <v>23</v>
      </c>
      <c r="F2" s="5" t="s">
        <v>24</v>
      </c>
      <c r="G2" s="6">
        <v>23159.0</v>
      </c>
      <c r="H2" s="5" t="s">
        <v>25</v>
      </c>
      <c r="I2" s="5" t="s">
        <v>26</v>
      </c>
      <c r="J2" s="5" t="s">
        <v>26</v>
      </c>
      <c r="K2" s="5" t="s">
        <v>26</v>
      </c>
      <c r="L2" s="5" t="s">
        <v>26</v>
      </c>
      <c r="M2" s="5" t="s">
        <v>27</v>
      </c>
      <c r="N2" s="5" t="s">
        <v>28</v>
      </c>
      <c r="O2" s="5" t="s">
        <v>29</v>
      </c>
      <c r="P2" s="5">
        <v>9.6671881E7</v>
      </c>
      <c r="Q2" s="7"/>
      <c r="R2" s="7"/>
      <c r="S2" s="8" t="s">
        <v>30</v>
      </c>
      <c r="T2" s="6">
        <v>46151.0</v>
      </c>
      <c r="U2" s="5"/>
      <c r="V2" s="9"/>
      <c r="W2" s="9"/>
      <c r="X2" s="9"/>
      <c r="Y2" s="9"/>
      <c r="Z2" s="9"/>
      <c r="AA2" s="9"/>
    </row>
    <row r="3" ht="22.5" customHeight="1">
      <c r="A3" s="4">
        <v>46167.9710875</v>
      </c>
      <c r="B3" s="5" t="s">
        <v>31</v>
      </c>
      <c r="C3" s="5" t="s">
        <v>32</v>
      </c>
      <c r="D3" s="5">
        <v>9.8894508E7</v>
      </c>
      <c r="E3" s="5" t="s">
        <v>33</v>
      </c>
      <c r="F3" s="5" t="s">
        <v>34</v>
      </c>
      <c r="G3" s="6">
        <v>29387.0</v>
      </c>
      <c r="H3" s="5" t="s">
        <v>25</v>
      </c>
      <c r="I3" s="5" t="s">
        <v>26</v>
      </c>
      <c r="J3" s="5" t="s">
        <v>26</v>
      </c>
      <c r="K3" s="5" t="s">
        <v>26</v>
      </c>
      <c r="L3" s="5" t="s">
        <v>26</v>
      </c>
      <c r="M3" s="5" t="s">
        <v>27</v>
      </c>
      <c r="N3" s="5" t="s">
        <v>35</v>
      </c>
      <c r="O3" s="5" t="s">
        <v>29</v>
      </c>
      <c r="P3" s="5">
        <v>9.8894508E7</v>
      </c>
      <c r="Q3" s="7"/>
      <c r="R3" s="7"/>
      <c r="S3" s="8" t="s">
        <v>36</v>
      </c>
      <c r="T3" s="6">
        <v>46142.0</v>
      </c>
      <c r="U3" s="7"/>
      <c r="V3" s="9"/>
      <c r="W3" s="9"/>
      <c r="X3" s="9"/>
      <c r="Y3" s="9"/>
      <c r="Z3" s="9"/>
      <c r="AA3" s="9"/>
    </row>
    <row r="4" ht="22.5" customHeight="1">
      <c r="A4" s="4">
        <v>46167.98578228009</v>
      </c>
      <c r="B4" s="5" t="s">
        <v>37</v>
      </c>
      <c r="C4" s="5" t="s">
        <v>38</v>
      </c>
      <c r="D4" s="5">
        <v>8.7422156E7</v>
      </c>
      <c r="E4" s="5" t="s">
        <v>39</v>
      </c>
      <c r="F4" s="5" t="s">
        <v>40</v>
      </c>
      <c r="G4" s="6">
        <v>28154.0</v>
      </c>
      <c r="H4" s="5" t="s">
        <v>41</v>
      </c>
      <c r="I4" s="10" t="s">
        <v>42</v>
      </c>
      <c r="J4" s="5" t="s">
        <v>43</v>
      </c>
      <c r="K4" s="5" t="s">
        <v>26</v>
      </c>
      <c r="L4" s="5" t="s">
        <v>26</v>
      </c>
      <c r="M4" s="5" t="s">
        <v>43</v>
      </c>
      <c r="N4" s="5" t="s">
        <v>35</v>
      </c>
      <c r="O4" s="5" t="s">
        <v>29</v>
      </c>
      <c r="P4" s="5">
        <v>8.7422156E7</v>
      </c>
      <c r="Q4" s="7"/>
      <c r="R4" s="7"/>
      <c r="S4" s="8" t="s">
        <v>44</v>
      </c>
      <c r="T4" s="6">
        <v>46148.0</v>
      </c>
      <c r="U4" s="7"/>
      <c r="V4" s="9"/>
      <c r="W4" s="9"/>
      <c r="X4" s="9"/>
      <c r="Y4" s="9"/>
      <c r="Z4" s="9"/>
      <c r="AA4" s="9"/>
    </row>
    <row r="5" ht="22.5" customHeight="1">
      <c r="A5" s="4">
        <v>46167.990241064814</v>
      </c>
      <c r="B5" s="5" t="s">
        <v>45</v>
      </c>
      <c r="C5" s="5" t="s">
        <v>46</v>
      </c>
      <c r="D5" s="5">
        <v>9.7323288E7</v>
      </c>
      <c r="E5" s="5" t="s">
        <v>47</v>
      </c>
      <c r="F5" s="5" t="s">
        <v>48</v>
      </c>
      <c r="G5" s="6">
        <v>24888.0</v>
      </c>
      <c r="H5" s="5" t="s">
        <v>41</v>
      </c>
      <c r="I5" s="10" t="s">
        <v>42</v>
      </c>
      <c r="J5" s="5" t="s">
        <v>43</v>
      </c>
      <c r="K5" s="5" t="s">
        <v>26</v>
      </c>
      <c r="L5" s="5" t="s">
        <v>26</v>
      </c>
      <c r="M5" s="5" t="s">
        <v>43</v>
      </c>
      <c r="N5" s="5" t="s">
        <v>35</v>
      </c>
      <c r="O5" s="5" t="s">
        <v>29</v>
      </c>
      <c r="P5" s="5">
        <v>9.7323288E7</v>
      </c>
      <c r="Q5" s="7"/>
      <c r="R5" s="7"/>
      <c r="S5" s="8" t="s">
        <v>49</v>
      </c>
      <c r="T5" s="6">
        <v>46153.0</v>
      </c>
      <c r="U5" s="7"/>
      <c r="V5" s="9"/>
      <c r="W5" s="9"/>
      <c r="X5" s="9"/>
      <c r="Y5" s="9"/>
      <c r="Z5" s="9"/>
      <c r="AA5" s="9"/>
    </row>
    <row r="6" ht="22.5" customHeight="1">
      <c r="A6" s="4">
        <v>46167.992868333335</v>
      </c>
      <c r="B6" s="5" t="s">
        <v>50</v>
      </c>
      <c r="C6" s="7"/>
      <c r="D6" s="5">
        <v>8.200139E7</v>
      </c>
      <c r="E6" s="5" t="s">
        <v>51</v>
      </c>
      <c r="F6" s="5" t="s">
        <v>52</v>
      </c>
      <c r="G6" s="6">
        <v>28972.0</v>
      </c>
      <c r="H6" s="5" t="s">
        <v>41</v>
      </c>
      <c r="I6" s="10" t="s">
        <v>42</v>
      </c>
      <c r="J6" s="5" t="s">
        <v>43</v>
      </c>
      <c r="K6" s="5" t="s">
        <v>26</v>
      </c>
      <c r="L6" s="5" t="s">
        <v>26</v>
      </c>
      <c r="M6" s="5" t="s">
        <v>43</v>
      </c>
      <c r="N6" s="5" t="s">
        <v>35</v>
      </c>
      <c r="O6" s="5" t="s">
        <v>29</v>
      </c>
      <c r="P6" s="5">
        <v>8.200139E7</v>
      </c>
      <c r="Q6" s="7"/>
      <c r="R6" s="7"/>
      <c r="S6" s="8" t="s">
        <v>53</v>
      </c>
      <c r="T6" s="6">
        <v>46144.0</v>
      </c>
      <c r="U6" s="7"/>
      <c r="V6" s="9"/>
      <c r="W6" s="9"/>
      <c r="X6" s="9"/>
      <c r="Y6" s="9"/>
      <c r="Z6" s="9"/>
      <c r="AA6" s="9"/>
    </row>
    <row r="7" ht="22.5" customHeight="1">
      <c r="A7" s="4">
        <v>46167.99438359954</v>
      </c>
      <c r="B7" s="5" t="s">
        <v>54</v>
      </c>
      <c r="C7" s="7"/>
      <c r="D7" s="5">
        <v>8.7685469E7</v>
      </c>
      <c r="E7" s="5" t="s">
        <v>55</v>
      </c>
      <c r="F7" s="5" t="s">
        <v>56</v>
      </c>
      <c r="G7" s="6">
        <v>33028.0</v>
      </c>
      <c r="H7" s="5" t="s">
        <v>41</v>
      </c>
      <c r="I7" s="10" t="s">
        <v>42</v>
      </c>
      <c r="J7" s="5" t="s">
        <v>43</v>
      </c>
      <c r="K7" s="5" t="s">
        <v>26</v>
      </c>
      <c r="L7" s="5" t="s">
        <v>26</v>
      </c>
      <c r="M7" s="5" t="s">
        <v>43</v>
      </c>
      <c r="N7" s="5" t="s">
        <v>35</v>
      </c>
      <c r="O7" s="5" t="s">
        <v>29</v>
      </c>
      <c r="P7" s="5">
        <v>8.7685469E7</v>
      </c>
      <c r="Q7" s="7"/>
      <c r="R7" s="7"/>
      <c r="S7" s="8" t="s">
        <v>57</v>
      </c>
      <c r="T7" s="6">
        <v>46155.0</v>
      </c>
      <c r="U7" s="7"/>
      <c r="V7" s="9"/>
      <c r="W7" s="9"/>
      <c r="X7" s="9"/>
      <c r="Y7" s="9"/>
      <c r="Z7" s="9"/>
      <c r="AA7" s="9"/>
    </row>
    <row r="8" ht="22.5" customHeight="1">
      <c r="A8" s="4">
        <v>46167.996320729166</v>
      </c>
      <c r="B8" s="5" t="s">
        <v>58</v>
      </c>
      <c r="C8" s="5" t="s">
        <v>59</v>
      </c>
      <c r="D8" s="5">
        <v>9.222189E7</v>
      </c>
      <c r="E8" s="5" t="s">
        <v>60</v>
      </c>
      <c r="F8" s="5" t="s">
        <v>61</v>
      </c>
      <c r="G8" s="6">
        <v>25292.0</v>
      </c>
      <c r="H8" s="5" t="s">
        <v>62</v>
      </c>
      <c r="I8" s="11" t="s">
        <v>63</v>
      </c>
      <c r="J8" s="5" t="s">
        <v>21</v>
      </c>
      <c r="K8" s="5" t="s">
        <v>26</v>
      </c>
      <c r="L8" s="5" t="s">
        <v>26</v>
      </c>
      <c r="M8" s="5" t="s">
        <v>21</v>
      </c>
      <c r="N8" s="5" t="s">
        <v>28</v>
      </c>
      <c r="O8" s="5" t="s">
        <v>29</v>
      </c>
      <c r="P8" s="5">
        <v>9.222189E7</v>
      </c>
      <c r="Q8" s="7"/>
      <c r="R8" s="7"/>
      <c r="S8" s="8" t="s">
        <v>64</v>
      </c>
      <c r="T8" s="6">
        <v>46156.0</v>
      </c>
      <c r="U8" s="7"/>
      <c r="V8" s="9"/>
      <c r="W8" s="9"/>
      <c r="X8" s="9"/>
      <c r="Y8" s="9"/>
      <c r="Z8" s="9"/>
      <c r="AA8" s="9"/>
    </row>
    <row r="9">
      <c r="A9" s="9"/>
      <c r="B9" s="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37.63"/>
    <col customWidth="1" min="4" max="4" width="25.13"/>
    <col customWidth="1" min="5" max="5" width="15.13"/>
    <col customWidth="1" min="6" max="6" width="25.13"/>
    <col customWidth="1" min="7" max="8" width="15.13"/>
    <col customWidth="1" min="9" max="9" width="25.13"/>
    <col customWidth="1" min="10" max="10" width="15.13"/>
    <col customWidth="1" min="11" max="11" width="25.13"/>
    <col customWidth="1" min="12" max="12" width="15.13"/>
    <col customWidth="1" min="13" max="16" width="25.13"/>
    <col customWidth="1" min="17" max="17" width="18.88"/>
    <col customWidth="1" min="18" max="19" width="25.13"/>
    <col customWidth="1" hidden="1" min="20" max="20" width="25.13"/>
    <col customWidth="1" min="21" max="22" width="25.13"/>
    <col customWidth="1" min="23" max="24" width="18.88"/>
  </cols>
  <sheetData>
    <row r="1" ht="22.5" customHeight="1">
      <c r="A1" s="12" t="s">
        <v>65</v>
      </c>
      <c r="B1" s="12" t="s">
        <v>0</v>
      </c>
      <c r="C1" s="12" t="s">
        <v>1</v>
      </c>
      <c r="D1" s="12" t="s">
        <v>2</v>
      </c>
      <c r="E1" s="13" t="s">
        <v>3</v>
      </c>
      <c r="F1" s="13" t="s">
        <v>4</v>
      </c>
      <c r="G1" s="13" t="s">
        <v>5</v>
      </c>
      <c r="H1" s="14" t="s">
        <v>6</v>
      </c>
      <c r="I1" s="13" t="s">
        <v>7</v>
      </c>
      <c r="J1" s="14" t="s">
        <v>8</v>
      </c>
      <c r="K1" s="13" t="s">
        <v>9</v>
      </c>
      <c r="L1" s="14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4" t="s">
        <v>20</v>
      </c>
      <c r="W1" s="15" t="s">
        <v>66</v>
      </c>
      <c r="X1" s="15" t="s">
        <v>67</v>
      </c>
      <c r="Y1" s="16"/>
      <c r="Z1" s="16"/>
      <c r="AA1" s="16"/>
      <c r="AB1" s="16"/>
      <c r="AC1" s="16"/>
      <c r="AD1" s="16"/>
      <c r="AE1" s="16"/>
    </row>
    <row r="2" ht="22.5" customHeight="1">
      <c r="A2" s="17" t="str">
        <f t="array" ref="A2:A1000">IF(C2:C1000&lt;&gt;"","EN"&amp;TEXT(ROW(C2:C1000)-1,"0000"),"")</f>
        <v>EN0001</v>
      </c>
      <c r="B2" s="18">
        <f t="array" ref="B2:B108">'Form responses 1'!A2:A1000</f>
        <v>46167.96851</v>
      </c>
      <c r="C2" s="19" t="str">
        <f t="array" ref="C2:C108">PROPER('Form responses 1'!B2:B1000)</f>
        <v>Sylvia Lee Chee Wei</v>
      </c>
      <c r="D2" s="19" t="str">
        <f t="array" ref="D2:D108">PROPER('Form responses 1'!C2:C1000)</f>
        <v>Sylvia Lee</v>
      </c>
      <c r="E2" s="20">
        <f t="array" ref="E2:E108">'Form responses 1'!D2:D1000</f>
        <v>96671881</v>
      </c>
      <c r="F2" s="17" t="str">
        <f t="array" ref="F2:F108">LOWER('Form responses 1'!E2:E1000)</f>
        <v>sylvia.lee.cx@gmail.com</v>
      </c>
      <c r="G2" s="20" t="str">
        <f t="array" ref="G2:V108">'Form responses 1'!F2:U1000</f>
        <v>S2184892A </v>
      </c>
      <c r="H2" s="21">
        <v>23159.0</v>
      </c>
      <c r="I2" s="20" t="s">
        <v>25</v>
      </c>
      <c r="J2" s="20" t="s">
        <v>26</v>
      </c>
      <c r="K2" s="20" t="s">
        <v>26</v>
      </c>
      <c r="L2" s="20" t="s">
        <v>26</v>
      </c>
      <c r="M2" s="20" t="s">
        <v>26</v>
      </c>
      <c r="N2" s="20" t="s">
        <v>27</v>
      </c>
      <c r="O2" s="20" t="s">
        <v>28</v>
      </c>
      <c r="P2" s="20" t="s">
        <v>29</v>
      </c>
      <c r="Q2" s="20">
        <v>9.6671881E7</v>
      </c>
      <c r="R2" s="20"/>
      <c r="S2" s="20"/>
      <c r="T2" s="20" t="s">
        <v>30</v>
      </c>
      <c r="U2" s="21">
        <v>46151.0</v>
      </c>
      <c r="V2" s="22"/>
      <c r="W2" s="23" t="s">
        <v>68</v>
      </c>
      <c r="X2" s="23" t="s">
        <v>69</v>
      </c>
      <c r="Y2" s="24"/>
      <c r="Z2" s="24"/>
      <c r="AA2" s="24"/>
      <c r="AB2" s="24"/>
      <c r="AC2" s="24"/>
      <c r="AD2" s="24"/>
      <c r="AE2" s="24"/>
    </row>
    <row r="3" ht="22.5" customHeight="1">
      <c r="A3" s="25" t="s">
        <v>42</v>
      </c>
      <c r="B3" s="26">
        <v>46167.9710875</v>
      </c>
      <c r="C3" s="27" t="s">
        <v>43</v>
      </c>
      <c r="D3" s="27" t="s">
        <v>70</v>
      </c>
      <c r="E3" s="25">
        <v>9.8894508E7</v>
      </c>
      <c r="F3" s="25" t="s">
        <v>33</v>
      </c>
      <c r="G3" s="25" t="s">
        <v>34</v>
      </c>
      <c r="H3" s="28">
        <v>29387.0</v>
      </c>
      <c r="I3" s="25" t="s">
        <v>25</v>
      </c>
      <c r="J3" s="25" t="s">
        <v>26</v>
      </c>
      <c r="K3" s="25" t="s">
        <v>26</v>
      </c>
      <c r="L3" s="25" t="s">
        <v>26</v>
      </c>
      <c r="M3" s="25" t="s">
        <v>26</v>
      </c>
      <c r="N3" s="25" t="s">
        <v>27</v>
      </c>
      <c r="O3" s="25" t="s">
        <v>35</v>
      </c>
      <c r="P3" s="25" t="s">
        <v>29</v>
      </c>
      <c r="Q3" s="25">
        <v>9.8894508E7</v>
      </c>
      <c r="R3" s="25"/>
      <c r="S3" s="25"/>
      <c r="T3" s="25" t="s">
        <v>36</v>
      </c>
      <c r="U3" s="28">
        <v>46142.0</v>
      </c>
      <c r="V3" s="29"/>
      <c r="W3" s="23" t="s">
        <v>68</v>
      </c>
      <c r="X3" s="23" t="s">
        <v>69</v>
      </c>
      <c r="Y3" s="30"/>
      <c r="Z3" s="30"/>
      <c r="AA3" s="30"/>
      <c r="AB3" s="30"/>
      <c r="AC3" s="30"/>
      <c r="AD3" s="30"/>
      <c r="AE3" s="30"/>
    </row>
    <row r="4" ht="22.5" customHeight="1">
      <c r="A4" s="25" t="s">
        <v>71</v>
      </c>
      <c r="B4" s="26">
        <v>46167.98578228009</v>
      </c>
      <c r="C4" s="27" t="s">
        <v>72</v>
      </c>
      <c r="D4" s="27" t="s">
        <v>73</v>
      </c>
      <c r="E4" s="25">
        <v>8.7422156E7</v>
      </c>
      <c r="F4" s="25" t="s">
        <v>39</v>
      </c>
      <c r="G4" s="25" t="s">
        <v>40</v>
      </c>
      <c r="H4" s="28">
        <v>28154.0</v>
      </c>
      <c r="I4" s="25" t="s">
        <v>41</v>
      </c>
      <c r="J4" s="25" t="s">
        <v>42</v>
      </c>
      <c r="K4" s="25" t="s">
        <v>43</v>
      </c>
      <c r="L4" s="25" t="s">
        <v>26</v>
      </c>
      <c r="M4" s="25" t="s">
        <v>26</v>
      </c>
      <c r="N4" s="25" t="s">
        <v>43</v>
      </c>
      <c r="O4" s="25" t="s">
        <v>35</v>
      </c>
      <c r="P4" s="25" t="s">
        <v>29</v>
      </c>
      <c r="Q4" s="25">
        <v>8.7422156E7</v>
      </c>
      <c r="R4" s="25"/>
      <c r="S4" s="25"/>
      <c r="T4" s="25" t="s">
        <v>44</v>
      </c>
      <c r="U4" s="28">
        <v>46148.0</v>
      </c>
      <c r="V4" s="29"/>
      <c r="W4" s="23" t="s">
        <v>68</v>
      </c>
      <c r="X4" s="23" t="s">
        <v>69</v>
      </c>
      <c r="Y4" s="30"/>
      <c r="Z4" s="30"/>
      <c r="AA4" s="30"/>
      <c r="AB4" s="30"/>
      <c r="AC4" s="30"/>
      <c r="AD4" s="30"/>
      <c r="AE4" s="30"/>
    </row>
    <row r="5" ht="22.5" customHeight="1">
      <c r="A5" s="25" t="s">
        <v>74</v>
      </c>
      <c r="B5" s="26">
        <v>46167.990241064814</v>
      </c>
      <c r="C5" s="27" t="s">
        <v>75</v>
      </c>
      <c r="D5" s="27" t="s">
        <v>76</v>
      </c>
      <c r="E5" s="25">
        <v>9.7323288E7</v>
      </c>
      <c r="F5" s="25" t="s">
        <v>47</v>
      </c>
      <c r="G5" s="25" t="s">
        <v>48</v>
      </c>
      <c r="H5" s="28">
        <v>24888.0</v>
      </c>
      <c r="I5" s="25" t="s">
        <v>41</v>
      </c>
      <c r="J5" s="25" t="s">
        <v>42</v>
      </c>
      <c r="K5" s="25" t="s">
        <v>43</v>
      </c>
      <c r="L5" s="25" t="s">
        <v>26</v>
      </c>
      <c r="M5" s="25" t="s">
        <v>26</v>
      </c>
      <c r="N5" s="25" t="s">
        <v>43</v>
      </c>
      <c r="O5" s="25" t="s">
        <v>35</v>
      </c>
      <c r="P5" s="25" t="s">
        <v>29</v>
      </c>
      <c r="Q5" s="25">
        <v>9.7323288E7</v>
      </c>
      <c r="R5" s="25"/>
      <c r="S5" s="25"/>
      <c r="T5" s="25" t="s">
        <v>49</v>
      </c>
      <c r="U5" s="28">
        <v>46153.0</v>
      </c>
      <c r="V5" s="29"/>
      <c r="W5" s="23" t="s">
        <v>68</v>
      </c>
      <c r="X5" s="23" t="s">
        <v>69</v>
      </c>
      <c r="Y5" s="30"/>
      <c r="Z5" s="30"/>
      <c r="AA5" s="30"/>
      <c r="AB5" s="30"/>
      <c r="AC5" s="30"/>
      <c r="AD5" s="30"/>
      <c r="AE5" s="30"/>
    </row>
    <row r="6" ht="22.5" customHeight="1">
      <c r="A6" s="25" t="s">
        <v>77</v>
      </c>
      <c r="B6" s="26">
        <v>46167.992868333335</v>
      </c>
      <c r="C6" s="27" t="s">
        <v>78</v>
      </c>
      <c r="D6" s="27" t="s">
        <v>79</v>
      </c>
      <c r="E6" s="25">
        <v>8.200139E7</v>
      </c>
      <c r="F6" s="25" t="s">
        <v>51</v>
      </c>
      <c r="G6" s="25" t="s">
        <v>52</v>
      </c>
      <c r="H6" s="28">
        <v>28972.0</v>
      </c>
      <c r="I6" s="25" t="s">
        <v>41</v>
      </c>
      <c r="J6" s="25" t="s">
        <v>42</v>
      </c>
      <c r="K6" s="25" t="s">
        <v>43</v>
      </c>
      <c r="L6" s="25" t="s">
        <v>26</v>
      </c>
      <c r="M6" s="25" t="s">
        <v>26</v>
      </c>
      <c r="N6" s="25" t="s">
        <v>43</v>
      </c>
      <c r="O6" s="25" t="s">
        <v>35</v>
      </c>
      <c r="P6" s="25" t="s">
        <v>29</v>
      </c>
      <c r="Q6" s="25">
        <v>8.200139E7</v>
      </c>
      <c r="R6" s="25"/>
      <c r="S6" s="25"/>
      <c r="T6" s="25" t="s">
        <v>53</v>
      </c>
      <c r="U6" s="28">
        <v>46144.0</v>
      </c>
      <c r="V6" s="29"/>
      <c r="W6" s="23" t="s">
        <v>68</v>
      </c>
      <c r="X6" s="23" t="s">
        <v>69</v>
      </c>
      <c r="Y6" s="30"/>
      <c r="Z6" s="30"/>
      <c r="AA6" s="30"/>
      <c r="AB6" s="30"/>
      <c r="AC6" s="30"/>
      <c r="AD6" s="30"/>
      <c r="AE6" s="30"/>
    </row>
    <row r="7" ht="22.5" customHeight="1">
      <c r="A7" s="25" t="s">
        <v>80</v>
      </c>
      <c r="B7" s="26">
        <v>46167.99438359954</v>
      </c>
      <c r="C7" s="27" t="s">
        <v>54</v>
      </c>
      <c r="D7" s="27" t="s">
        <v>79</v>
      </c>
      <c r="E7" s="25">
        <v>8.7685469E7</v>
      </c>
      <c r="F7" s="25" t="s">
        <v>55</v>
      </c>
      <c r="G7" s="25" t="s">
        <v>56</v>
      </c>
      <c r="H7" s="28">
        <v>33028.0</v>
      </c>
      <c r="I7" s="25" t="s">
        <v>41</v>
      </c>
      <c r="J7" s="25" t="s">
        <v>42</v>
      </c>
      <c r="K7" s="25" t="s">
        <v>43</v>
      </c>
      <c r="L7" s="25" t="s">
        <v>26</v>
      </c>
      <c r="M7" s="25" t="s">
        <v>26</v>
      </c>
      <c r="N7" s="25" t="s">
        <v>43</v>
      </c>
      <c r="O7" s="25" t="s">
        <v>35</v>
      </c>
      <c r="P7" s="25" t="s">
        <v>29</v>
      </c>
      <c r="Q7" s="25">
        <v>8.7685469E7</v>
      </c>
      <c r="R7" s="25"/>
      <c r="S7" s="25"/>
      <c r="T7" s="25" t="s">
        <v>57</v>
      </c>
      <c r="U7" s="28">
        <v>46155.0</v>
      </c>
      <c r="V7" s="29"/>
      <c r="W7" s="23" t="s">
        <v>81</v>
      </c>
      <c r="X7" s="23" t="s">
        <v>82</v>
      </c>
      <c r="Y7" s="30"/>
      <c r="Z7" s="30"/>
      <c r="AA7" s="30"/>
      <c r="AB7" s="30"/>
      <c r="AC7" s="30"/>
      <c r="AD7" s="30"/>
      <c r="AE7" s="30"/>
    </row>
    <row r="8" ht="22.5" customHeight="1">
      <c r="A8" s="25" t="s">
        <v>83</v>
      </c>
      <c r="B8" s="26">
        <v>46167.996320729166</v>
      </c>
      <c r="C8" s="27" t="s">
        <v>58</v>
      </c>
      <c r="D8" s="27" t="s">
        <v>59</v>
      </c>
      <c r="E8" s="25">
        <v>9.222189E7</v>
      </c>
      <c r="F8" s="25" t="s">
        <v>60</v>
      </c>
      <c r="G8" s="25" t="s">
        <v>61</v>
      </c>
      <c r="H8" s="28">
        <v>25292.0</v>
      </c>
      <c r="I8" s="25" t="s">
        <v>62</v>
      </c>
      <c r="J8" s="25" t="s">
        <v>63</v>
      </c>
      <c r="K8" s="25" t="s">
        <v>21</v>
      </c>
      <c r="L8" s="25" t="s">
        <v>26</v>
      </c>
      <c r="M8" s="25" t="s">
        <v>26</v>
      </c>
      <c r="N8" s="25" t="s">
        <v>21</v>
      </c>
      <c r="O8" s="25" t="s">
        <v>28</v>
      </c>
      <c r="P8" s="25" t="s">
        <v>29</v>
      </c>
      <c r="Q8" s="25">
        <v>9.222189E7</v>
      </c>
      <c r="R8" s="25"/>
      <c r="S8" s="25"/>
      <c r="T8" s="25" t="s">
        <v>64</v>
      </c>
      <c r="U8" s="28">
        <v>46156.0</v>
      </c>
      <c r="V8" s="29"/>
      <c r="W8" s="23" t="s">
        <v>68</v>
      </c>
      <c r="X8" s="23" t="s">
        <v>69</v>
      </c>
      <c r="Y8" s="30"/>
      <c r="Z8" s="30"/>
      <c r="AA8" s="30"/>
      <c r="AB8" s="30"/>
      <c r="AC8" s="30"/>
      <c r="AD8" s="30"/>
      <c r="AE8" s="30"/>
    </row>
    <row r="9">
      <c r="A9" s="30" t="s">
        <v>79</v>
      </c>
      <c r="B9" s="30"/>
      <c r="C9" s="30" t="s">
        <v>79</v>
      </c>
      <c r="D9" s="30" t="s">
        <v>79</v>
      </c>
      <c r="E9" s="30"/>
      <c r="F9" s="30" t="s">
        <v>79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>
      <c r="A10" s="30" t="s">
        <v>79</v>
      </c>
      <c r="B10" s="30"/>
      <c r="C10" s="30" t="s">
        <v>79</v>
      </c>
      <c r="D10" s="30" t="s">
        <v>79</v>
      </c>
      <c r="E10" s="30"/>
      <c r="F10" s="30" t="s">
        <v>79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>
      <c r="A11" s="30" t="s">
        <v>79</v>
      </c>
      <c r="B11" s="30"/>
      <c r="C11" s="30" t="s">
        <v>79</v>
      </c>
      <c r="D11" s="30" t="s">
        <v>79</v>
      </c>
      <c r="E11" s="30"/>
      <c r="F11" s="30" t="s">
        <v>79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>
      <c r="A12" s="30" t="s">
        <v>79</v>
      </c>
      <c r="B12" s="30"/>
      <c r="C12" s="30" t="s">
        <v>79</v>
      </c>
      <c r="D12" s="30" t="s">
        <v>79</v>
      </c>
      <c r="E12" s="30"/>
      <c r="F12" s="30" t="s">
        <v>79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>
      <c r="A13" s="30" t="s">
        <v>79</v>
      </c>
      <c r="B13" s="30"/>
      <c r="C13" s="30" t="s">
        <v>79</v>
      </c>
      <c r="D13" s="30" t="s">
        <v>79</v>
      </c>
      <c r="E13" s="30"/>
      <c r="F13" s="30" t="s">
        <v>79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>
      <c r="A14" s="30" t="s">
        <v>79</v>
      </c>
      <c r="B14" s="30"/>
      <c r="C14" s="30" t="s">
        <v>79</v>
      </c>
      <c r="D14" s="30" t="s">
        <v>79</v>
      </c>
      <c r="E14" s="30"/>
      <c r="F14" s="30" t="s">
        <v>79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>
      <c r="A15" s="30" t="s">
        <v>79</v>
      </c>
      <c r="B15" s="30"/>
      <c r="C15" s="30" t="s">
        <v>79</v>
      </c>
      <c r="D15" s="30" t="s">
        <v>79</v>
      </c>
      <c r="E15" s="30"/>
      <c r="F15" s="30" t="s">
        <v>79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>
      <c r="A16" s="30" t="s">
        <v>79</v>
      </c>
      <c r="B16" s="30"/>
      <c r="C16" s="30" t="s">
        <v>79</v>
      </c>
      <c r="D16" s="30" t="s">
        <v>79</v>
      </c>
      <c r="E16" s="30"/>
      <c r="F16" s="30" t="s">
        <v>79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>
      <c r="A17" s="30" t="s">
        <v>79</v>
      </c>
      <c r="B17" s="30"/>
      <c r="C17" s="30" t="s">
        <v>79</v>
      </c>
      <c r="D17" s="30" t="s">
        <v>79</v>
      </c>
      <c r="E17" s="30"/>
      <c r="F17" s="30" t="s">
        <v>79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>
      <c r="A18" s="30" t="s">
        <v>79</v>
      </c>
      <c r="B18" s="30"/>
      <c r="C18" s="30" t="s">
        <v>79</v>
      </c>
      <c r="D18" s="30" t="s">
        <v>79</v>
      </c>
      <c r="E18" s="30"/>
      <c r="F18" s="30" t="s">
        <v>79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>
      <c r="A19" s="30" t="s">
        <v>79</v>
      </c>
      <c r="B19" s="30"/>
      <c r="C19" s="30" t="s">
        <v>79</v>
      </c>
      <c r="D19" s="30" t="s">
        <v>79</v>
      </c>
      <c r="E19" s="30"/>
      <c r="F19" s="30" t="s">
        <v>79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>
      <c r="A20" s="30" t="s">
        <v>79</v>
      </c>
      <c r="B20" s="30"/>
      <c r="C20" s="30" t="s">
        <v>79</v>
      </c>
      <c r="D20" s="30" t="s">
        <v>79</v>
      </c>
      <c r="E20" s="30"/>
      <c r="F20" s="30" t="s">
        <v>79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>
      <c r="A21" s="30" t="s">
        <v>79</v>
      </c>
      <c r="B21" s="30"/>
      <c r="C21" s="30" t="s">
        <v>79</v>
      </c>
      <c r="D21" s="30" t="s">
        <v>79</v>
      </c>
      <c r="E21" s="30"/>
      <c r="F21" s="30" t="s">
        <v>79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>
      <c r="A22" s="30" t="s">
        <v>79</v>
      </c>
      <c r="B22" s="30"/>
      <c r="C22" s="30" t="s">
        <v>79</v>
      </c>
      <c r="D22" s="30" t="s">
        <v>79</v>
      </c>
      <c r="E22" s="30"/>
      <c r="F22" s="30" t="s">
        <v>79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>
      <c r="A23" s="30" t="s">
        <v>79</v>
      </c>
      <c r="B23" s="30"/>
      <c r="C23" s="30" t="s">
        <v>79</v>
      </c>
      <c r="D23" s="30" t="s">
        <v>79</v>
      </c>
      <c r="E23" s="30"/>
      <c r="F23" s="30" t="s">
        <v>79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>
      <c r="A24" s="30" t="s">
        <v>79</v>
      </c>
      <c r="B24" s="30"/>
      <c r="C24" s="30" t="s">
        <v>79</v>
      </c>
      <c r="D24" s="30" t="s">
        <v>79</v>
      </c>
      <c r="E24" s="30"/>
      <c r="F24" s="30" t="s">
        <v>79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>
      <c r="A25" s="30" t="s">
        <v>79</v>
      </c>
      <c r="B25" s="30"/>
      <c r="C25" s="30" t="s">
        <v>79</v>
      </c>
      <c r="D25" s="30" t="s">
        <v>79</v>
      </c>
      <c r="E25" s="30"/>
      <c r="F25" s="30" t="s">
        <v>79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>
      <c r="A26" s="30" t="s">
        <v>79</v>
      </c>
      <c r="B26" s="30"/>
      <c r="C26" s="30" t="s">
        <v>79</v>
      </c>
      <c r="D26" s="30" t="s">
        <v>79</v>
      </c>
      <c r="E26" s="30"/>
      <c r="F26" s="30" t="s">
        <v>79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>
      <c r="A27" s="30" t="s">
        <v>79</v>
      </c>
      <c r="B27" s="30"/>
      <c r="C27" s="30" t="s">
        <v>79</v>
      </c>
      <c r="D27" s="30" t="s">
        <v>79</v>
      </c>
      <c r="E27" s="30"/>
      <c r="F27" s="30" t="s">
        <v>79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>
      <c r="A28" s="30" t="s">
        <v>79</v>
      </c>
      <c r="B28" s="30"/>
      <c r="C28" s="30" t="s">
        <v>79</v>
      </c>
      <c r="D28" s="30" t="s">
        <v>79</v>
      </c>
      <c r="E28" s="30"/>
      <c r="F28" s="30" t="s">
        <v>79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>
      <c r="A29" s="30" t="s">
        <v>79</v>
      </c>
      <c r="B29" s="30"/>
      <c r="C29" s="30" t="s">
        <v>79</v>
      </c>
      <c r="D29" s="30" t="s">
        <v>79</v>
      </c>
      <c r="E29" s="30"/>
      <c r="F29" s="30" t="s">
        <v>79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>
      <c r="A30" s="30" t="s">
        <v>79</v>
      </c>
      <c r="B30" s="30"/>
      <c r="C30" s="30" t="s">
        <v>79</v>
      </c>
      <c r="D30" s="30" t="s">
        <v>79</v>
      </c>
      <c r="E30" s="30"/>
      <c r="F30" s="30" t="s">
        <v>79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>
      <c r="A31" s="30" t="s">
        <v>79</v>
      </c>
      <c r="B31" s="30"/>
      <c r="C31" s="30" t="s">
        <v>79</v>
      </c>
      <c r="D31" s="30" t="s">
        <v>79</v>
      </c>
      <c r="E31" s="30"/>
      <c r="F31" s="30" t="s">
        <v>79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30" t="s">
        <v>79</v>
      </c>
      <c r="B32" s="30"/>
      <c r="C32" s="30" t="s">
        <v>79</v>
      </c>
      <c r="D32" s="30" t="s">
        <v>79</v>
      </c>
      <c r="E32" s="30"/>
      <c r="F32" s="30" t="s">
        <v>79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30" t="s">
        <v>79</v>
      </c>
      <c r="B33" s="30"/>
      <c r="C33" s="30" t="s">
        <v>79</v>
      </c>
      <c r="D33" s="30" t="s">
        <v>79</v>
      </c>
      <c r="E33" s="30"/>
      <c r="F33" s="30" t="s">
        <v>79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30" t="s">
        <v>79</v>
      </c>
      <c r="B34" s="30"/>
      <c r="C34" s="30" t="s">
        <v>79</v>
      </c>
      <c r="D34" s="30" t="s">
        <v>79</v>
      </c>
      <c r="E34" s="30"/>
      <c r="F34" s="30" t="s">
        <v>79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30" t="s">
        <v>79</v>
      </c>
      <c r="B35" s="30"/>
      <c r="C35" s="30" t="s">
        <v>79</v>
      </c>
      <c r="D35" s="30" t="s">
        <v>79</v>
      </c>
      <c r="E35" s="30"/>
      <c r="F35" s="30" t="s">
        <v>79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30" t="s">
        <v>79</v>
      </c>
      <c r="B36" s="30"/>
      <c r="C36" s="30" t="s">
        <v>79</v>
      </c>
      <c r="D36" s="30" t="s">
        <v>79</v>
      </c>
      <c r="E36" s="30"/>
      <c r="F36" s="30" t="s">
        <v>79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>
      <c r="A37" s="30" t="s">
        <v>79</v>
      </c>
      <c r="B37" s="30"/>
      <c r="C37" s="30" t="s">
        <v>79</v>
      </c>
      <c r="D37" s="30" t="s">
        <v>79</v>
      </c>
      <c r="E37" s="30"/>
      <c r="F37" s="30" t="s">
        <v>79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>
      <c r="A38" s="30" t="s">
        <v>79</v>
      </c>
      <c r="B38" s="30"/>
      <c r="C38" s="30" t="s">
        <v>79</v>
      </c>
      <c r="D38" s="30" t="s">
        <v>79</v>
      </c>
      <c r="E38" s="30"/>
      <c r="F38" s="30" t="s">
        <v>79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>
      <c r="A39" s="30" t="s">
        <v>79</v>
      </c>
      <c r="B39" s="30"/>
      <c r="C39" s="30" t="s">
        <v>79</v>
      </c>
      <c r="D39" s="30" t="s">
        <v>79</v>
      </c>
      <c r="E39" s="30"/>
      <c r="F39" s="30" t="s">
        <v>79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>
      <c r="A40" s="30" t="s">
        <v>79</v>
      </c>
      <c r="B40" s="30"/>
      <c r="C40" s="30" t="s">
        <v>79</v>
      </c>
      <c r="D40" s="30" t="s">
        <v>79</v>
      </c>
      <c r="E40" s="30"/>
      <c r="F40" s="30" t="s">
        <v>79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>
      <c r="A41" s="30" t="s">
        <v>79</v>
      </c>
      <c r="B41" s="30"/>
      <c r="C41" s="30" t="s">
        <v>79</v>
      </c>
      <c r="D41" s="30" t="s">
        <v>79</v>
      </c>
      <c r="E41" s="30"/>
      <c r="F41" s="30" t="s">
        <v>79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>
      <c r="A42" s="30" t="s">
        <v>79</v>
      </c>
      <c r="B42" s="30"/>
      <c r="C42" s="30" t="s">
        <v>79</v>
      </c>
      <c r="D42" s="30" t="s">
        <v>79</v>
      </c>
      <c r="E42" s="30"/>
      <c r="F42" s="30" t="s">
        <v>79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>
      <c r="A43" s="30" t="s">
        <v>79</v>
      </c>
      <c r="B43" s="30"/>
      <c r="C43" s="30" t="s">
        <v>79</v>
      </c>
      <c r="D43" s="30" t="s">
        <v>79</v>
      </c>
      <c r="E43" s="30"/>
      <c r="F43" s="30" t="s">
        <v>79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>
      <c r="A44" s="30" t="s">
        <v>79</v>
      </c>
      <c r="B44" s="30"/>
      <c r="C44" s="30" t="s">
        <v>79</v>
      </c>
      <c r="D44" s="30" t="s">
        <v>79</v>
      </c>
      <c r="E44" s="30"/>
      <c r="F44" s="30" t="s">
        <v>79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>
      <c r="A45" s="30" t="s">
        <v>79</v>
      </c>
      <c r="B45" s="30"/>
      <c r="C45" s="30" t="s">
        <v>79</v>
      </c>
      <c r="D45" s="30" t="s">
        <v>79</v>
      </c>
      <c r="E45" s="30"/>
      <c r="F45" s="30" t="s">
        <v>79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>
      <c r="A46" s="30" t="s">
        <v>79</v>
      </c>
      <c r="B46" s="30"/>
      <c r="C46" s="30" t="s">
        <v>79</v>
      </c>
      <c r="D46" s="30" t="s">
        <v>79</v>
      </c>
      <c r="E46" s="30"/>
      <c r="F46" s="30" t="s">
        <v>79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>
      <c r="A47" s="30" t="s">
        <v>79</v>
      </c>
      <c r="B47" s="30"/>
      <c r="C47" s="30" t="s">
        <v>79</v>
      </c>
      <c r="D47" s="30" t="s">
        <v>79</v>
      </c>
      <c r="E47" s="30"/>
      <c r="F47" s="30" t="s">
        <v>79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>
      <c r="A48" s="30" t="s">
        <v>79</v>
      </c>
      <c r="B48" s="30"/>
      <c r="C48" s="30" t="s">
        <v>79</v>
      </c>
      <c r="D48" s="30" t="s">
        <v>79</v>
      </c>
      <c r="E48" s="30"/>
      <c r="F48" s="30" t="s">
        <v>79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>
      <c r="A49" s="30" t="s">
        <v>79</v>
      </c>
      <c r="B49" s="30"/>
      <c r="C49" s="30" t="s">
        <v>79</v>
      </c>
      <c r="D49" s="30" t="s">
        <v>79</v>
      </c>
      <c r="E49" s="30"/>
      <c r="F49" s="30" t="s">
        <v>79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>
      <c r="A50" s="30" t="s">
        <v>79</v>
      </c>
      <c r="B50" s="30"/>
      <c r="C50" s="30" t="s">
        <v>79</v>
      </c>
      <c r="D50" s="30" t="s">
        <v>79</v>
      </c>
      <c r="E50" s="30"/>
      <c r="F50" s="30" t="s">
        <v>79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</row>
    <row r="51">
      <c r="A51" s="30" t="s">
        <v>79</v>
      </c>
      <c r="B51" s="30"/>
      <c r="C51" s="30" t="s">
        <v>79</v>
      </c>
      <c r="D51" s="30" t="s">
        <v>79</v>
      </c>
      <c r="E51" s="30"/>
      <c r="F51" s="30" t="s">
        <v>79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>
      <c r="A52" s="30" t="s">
        <v>79</v>
      </c>
      <c r="B52" s="30"/>
      <c r="C52" s="30" t="s">
        <v>79</v>
      </c>
      <c r="D52" s="30" t="s">
        <v>79</v>
      </c>
      <c r="E52" s="30"/>
      <c r="F52" s="30" t="s">
        <v>79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>
      <c r="A53" s="30" t="s">
        <v>79</v>
      </c>
      <c r="B53" s="30"/>
      <c r="C53" s="30" t="s">
        <v>79</v>
      </c>
      <c r="D53" s="30" t="s">
        <v>79</v>
      </c>
      <c r="E53" s="30"/>
      <c r="F53" s="30" t="s">
        <v>79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>
      <c r="A54" s="30" t="s">
        <v>79</v>
      </c>
      <c r="B54" s="30"/>
      <c r="C54" s="30" t="s">
        <v>79</v>
      </c>
      <c r="D54" s="30" t="s">
        <v>79</v>
      </c>
      <c r="E54" s="30"/>
      <c r="F54" s="30" t="s">
        <v>79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>
      <c r="A55" s="30" t="s">
        <v>79</v>
      </c>
      <c r="B55" s="30"/>
      <c r="C55" s="30" t="s">
        <v>79</v>
      </c>
      <c r="D55" s="30" t="s">
        <v>79</v>
      </c>
      <c r="E55" s="30"/>
      <c r="F55" s="30" t="s">
        <v>79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>
      <c r="A56" s="30" t="s">
        <v>79</v>
      </c>
      <c r="B56" s="30"/>
      <c r="C56" s="30" t="s">
        <v>79</v>
      </c>
      <c r="D56" s="30" t="s">
        <v>79</v>
      </c>
      <c r="E56" s="30"/>
      <c r="F56" s="30" t="s">
        <v>79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>
      <c r="A57" s="30" t="s">
        <v>79</v>
      </c>
      <c r="B57" s="30"/>
      <c r="C57" s="30" t="s">
        <v>79</v>
      </c>
      <c r="D57" s="30" t="s">
        <v>79</v>
      </c>
      <c r="E57" s="30"/>
      <c r="F57" s="30" t="s">
        <v>79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</row>
    <row r="58">
      <c r="A58" s="30" t="s">
        <v>79</v>
      </c>
      <c r="B58" s="30"/>
      <c r="C58" s="30" t="s">
        <v>79</v>
      </c>
      <c r="D58" s="30" t="s">
        <v>79</v>
      </c>
      <c r="E58" s="30"/>
      <c r="F58" s="30" t="s">
        <v>79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>
      <c r="A59" s="30" t="s">
        <v>79</v>
      </c>
      <c r="B59" s="30"/>
      <c r="C59" s="30" t="s">
        <v>79</v>
      </c>
      <c r="D59" s="30" t="s">
        <v>79</v>
      </c>
      <c r="E59" s="30"/>
      <c r="F59" s="30" t="s">
        <v>79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</row>
    <row r="60">
      <c r="A60" s="30" t="s">
        <v>79</v>
      </c>
      <c r="B60" s="30"/>
      <c r="C60" s="30" t="s">
        <v>79</v>
      </c>
      <c r="D60" s="30" t="s">
        <v>79</v>
      </c>
      <c r="E60" s="30"/>
      <c r="F60" s="30" t="s">
        <v>79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>
      <c r="A61" s="30" t="s">
        <v>79</v>
      </c>
      <c r="B61" s="30"/>
      <c r="C61" s="30" t="s">
        <v>79</v>
      </c>
      <c r="D61" s="30" t="s">
        <v>79</v>
      </c>
      <c r="E61" s="30"/>
      <c r="F61" s="30" t="s">
        <v>79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>
      <c r="A62" s="30" t="s">
        <v>79</v>
      </c>
      <c r="B62" s="30"/>
      <c r="C62" s="30" t="s">
        <v>79</v>
      </c>
      <c r="D62" s="30" t="s">
        <v>79</v>
      </c>
      <c r="E62" s="30"/>
      <c r="F62" s="30" t="s">
        <v>79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>
      <c r="A63" s="30" t="s">
        <v>79</v>
      </c>
      <c r="B63" s="30"/>
      <c r="C63" s="30" t="s">
        <v>79</v>
      </c>
      <c r="D63" s="30" t="s">
        <v>79</v>
      </c>
      <c r="E63" s="30"/>
      <c r="F63" s="30" t="s">
        <v>79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>
      <c r="A64" s="30" t="s">
        <v>79</v>
      </c>
      <c r="B64" s="30"/>
      <c r="C64" s="30" t="s">
        <v>79</v>
      </c>
      <c r="D64" s="30" t="s">
        <v>79</v>
      </c>
      <c r="E64" s="30"/>
      <c r="F64" s="30" t="s">
        <v>79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>
      <c r="A65" s="30" t="s">
        <v>79</v>
      </c>
      <c r="B65" s="30"/>
      <c r="C65" s="30" t="s">
        <v>79</v>
      </c>
      <c r="D65" s="30" t="s">
        <v>79</v>
      </c>
      <c r="E65" s="30"/>
      <c r="F65" s="30" t="s">
        <v>79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>
      <c r="A66" s="30" t="s">
        <v>79</v>
      </c>
      <c r="B66" s="30"/>
      <c r="C66" s="30" t="s">
        <v>79</v>
      </c>
      <c r="D66" s="30" t="s">
        <v>79</v>
      </c>
      <c r="E66" s="30"/>
      <c r="F66" s="30" t="s">
        <v>79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>
      <c r="A67" s="30" t="s">
        <v>79</v>
      </c>
      <c r="B67" s="30"/>
      <c r="C67" s="30" t="s">
        <v>79</v>
      </c>
      <c r="D67" s="30" t="s">
        <v>79</v>
      </c>
      <c r="E67" s="30"/>
      <c r="F67" s="30" t="s">
        <v>79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>
      <c r="A68" s="30" t="s">
        <v>79</v>
      </c>
      <c r="B68" s="30"/>
      <c r="C68" s="30" t="s">
        <v>79</v>
      </c>
      <c r="D68" s="30" t="s">
        <v>79</v>
      </c>
      <c r="E68" s="30"/>
      <c r="F68" s="30" t="s">
        <v>79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>
      <c r="A69" s="30" t="s">
        <v>79</v>
      </c>
      <c r="B69" s="30"/>
      <c r="C69" s="30" t="s">
        <v>79</v>
      </c>
      <c r="D69" s="30" t="s">
        <v>79</v>
      </c>
      <c r="E69" s="30"/>
      <c r="F69" s="30" t="s">
        <v>79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>
      <c r="A70" s="30" t="s">
        <v>79</v>
      </c>
      <c r="B70" s="30"/>
      <c r="C70" s="30" t="s">
        <v>79</v>
      </c>
      <c r="D70" s="30" t="s">
        <v>79</v>
      </c>
      <c r="E70" s="30"/>
      <c r="F70" s="30" t="s">
        <v>79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>
      <c r="A71" s="30" t="s">
        <v>79</v>
      </c>
      <c r="B71" s="30"/>
      <c r="C71" s="30" t="s">
        <v>79</v>
      </c>
      <c r="D71" s="30" t="s">
        <v>79</v>
      </c>
      <c r="E71" s="30"/>
      <c r="F71" s="30" t="s">
        <v>79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>
      <c r="A72" s="30" t="s">
        <v>79</v>
      </c>
      <c r="B72" s="30"/>
      <c r="C72" s="30" t="s">
        <v>79</v>
      </c>
      <c r="D72" s="30" t="s">
        <v>79</v>
      </c>
      <c r="E72" s="30"/>
      <c r="F72" s="30" t="s">
        <v>79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>
      <c r="A73" s="30" t="s">
        <v>79</v>
      </c>
      <c r="B73" s="30"/>
      <c r="C73" s="30" t="s">
        <v>79</v>
      </c>
      <c r="D73" s="30" t="s">
        <v>79</v>
      </c>
      <c r="E73" s="30"/>
      <c r="F73" s="30" t="s">
        <v>79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</row>
    <row r="74">
      <c r="A74" s="30" t="s">
        <v>79</v>
      </c>
      <c r="B74" s="30"/>
      <c r="C74" s="30" t="s">
        <v>79</v>
      </c>
      <c r="D74" s="30" t="s">
        <v>79</v>
      </c>
      <c r="E74" s="30"/>
      <c r="F74" s="30" t="s">
        <v>79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</row>
    <row r="75">
      <c r="A75" s="30" t="s">
        <v>79</v>
      </c>
      <c r="B75" s="30"/>
      <c r="C75" s="30" t="s">
        <v>79</v>
      </c>
      <c r="D75" s="30" t="s">
        <v>79</v>
      </c>
      <c r="E75" s="30"/>
      <c r="F75" s="30" t="s">
        <v>79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</row>
    <row r="76">
      <c r="A76" s="30" t="s">
        <v>79</v>
      </c>
      <c r="B76" s="30"/>
      <c r="C76" s="30" t="s">
        <v>79</v>
      </c>
      <c r="D76" s="30" t="s">
        <v>79</v>
      </c>
      <c r="E76" s="30"/>
      <c r="F76" s="30" t="s">
        <v>79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</row>
    <row r="77">
      <c r="A77" s="30" t="s">
        <v>79</v>
      </c>
      <c r="B77" s="30"/>
      <c r="C77" s="30" t="s">
        <v>79</v>
      </c>
      <c r="D77" s="30" t="s">
        <v>79</v>
      </c>
      <c r="E77" s="30"/>
      <c r="F77" s="30" t="s">
        <v>79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</row>
    <row r="78">
      <c r="A78" s="30" t="s">
        <v>79</v>
      </c>
      <c r="B78" s="30"/>
      <c r="C78" s="30" t="s">
        <v>79</v>
      </c>
      <c r="D78" s="30" t="s">
        <v>79</v>
      </c>
      <c r="E78" s="30"/>
      <c r="F78" s="30" t="s">
        <v>79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</row>
    <row r="79">
      <c r="A79" s="30" t="s">
        <v>79</v>
      </c>
      <c r="B79" s="30"/>
      <c r="C79" s="30" t="s">
        <v>79</v>
      </c>
      <c r="D79" s="30" t="s">
        <v>79</v>
      </c>
      <c r="E79" s="30"/>
      <c r="F79" s="30" t="s">
        <v>79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</row>
    <row r="80">
      <c r="A80" s="30" t="s">
        <v>79</v>
      </c>
      <c r="B80" s="30"/>
      <c r="C80" s="30" t="s">
        <v>79</v>
      </c>
      <c r="D80" s="30" t="s">
        <v>79</v>
      </c>
      <c r="E80" s="30"/>
      <c r="F80" s="30" t="s">
        <v>79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</row>
    <row r="81">
      <c r="A81" s="30" t="s">
        <v>79</v>
      </c>
      <c r="B81" s="30"/>
      <c r="C81" s="30" t="s">
        <v>79</v>
      </c>
      <c r="D81" s="30" t="s">
        <v>79</v>
      </c>
      <c r="E81" s="30"/>
      <c r="F81" s="30" t="s">
        <v>79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>
      <c r="A82" s="30" t="s">
        <v>79</v>
      </c>
      <c r="B82" s="30"/>
      <c r="C82" s="30" t="s">
        <v>79</v>
      </c>
      <c r="D82" s="30" t="s">
        <v>79</v>
      </c>
      <c r="E82" s="30"/>
      <c r="F82" s="30" t="s">
        <v>79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>
      <c r="A83" s="30" t="s">
        <v>79</v>
      </c>
      <c r="B83" s="30"/>
      <c r="C83" s="30" t="s">
        <v>79</v>
      </c>
      <c r="D83" s="30" t="s">
        <v>79</v>
      </c>
      <c r="E83" s="30"/>
      <c r="F83" s="30" t="s">
        <v>79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</row>
    <row r="84">
      <c r="A84" s="30" t="s">
        <v>79</v>
      </c>
      <c r="B84" s="30"/>
      <c r="C84" s="30" t="s">
        <v>79</v>
      </c>
      <c r="D84" s="30" t="s">
        <v>79</v>
      </c>
      <c r="E84" s="30"/>
      <c r="F84" s="30" t="s">
        <v>79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>
      <c r="A85" s="30" t="s">
        <v>79</v>
      </c>
      <c r="B85" s="30"/>
      <c r="C85" s="30" t="s">
        <v>79</v>
      </c>
      <c r="D85" s="30" t="s">
        <v>79</v>
      </c>
      <c r="E85" s="30"/>
      <c r="F85" s="30" t="s">
        <v>79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>
      <c r="A86" s="30" t="s">
        <v>79</v>
      </c>
      <c r="B86" s="30"/>
      <c r="C86" s="30" t="s">
        <v>79</v>
      </c>
      <c r="D86" s="30" t="s">
        <v>79</v>
      </c>
      <c r="E86" s="30"/>
      <c r="F86" s="30" t="s">
        <v>79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>
      <c r="A87" s="30" t="s">
        <v>79</v>
      </c>
      <c r="B87" s="30"/>
      <c r="C87" s="30" t="s">
        <v>79</v>
      </c>
      <c r="D87" s="30" t="s">
        <v>79</v>
      </c>
      <c r="E87" s="30"/>
      <c r="F87" s="30" t="s">
        <v>79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>
      <c r="A88" s="30" t="s">
        <v>79</v>
      </c>
      <c r="B88" s="30"/>
      <c r="C88" s="30" t="s">
        <v>79</v>
      </c>
      <c r="D88" s="30" t="s">
        <v>79</v>
      </c>
      <c r="E88" s="30"/>
      <c r="F88" s="30" t="s">
        <v>79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>
      <c r="A89" s="30" t="s">
        <v>79</v>
      </c>
      <c r="B89" s="30"/>
      <c r="C89" s="30" t="s">
        <v>79</v>
      </c>
      <c r="D89" s="30" t="s">
        <v>79</v>
      </c>
      <c r="E89" s="30"/>
      <c r="F89" s="30" t="s">
        <v>79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>
      <c r="A90" s="30" t="s">
        <v>79</v>
      </c>
      <c r="B90" s="30"/>
      <c r="C90" s="30" t="s">
        <v>79</v>
      </c>
      <c r="D90" s="30" t="s">
        <v>79</v>
      </c>
      <c r="E90" s="30"/>
      <c r="F90" s="30" t="s">
        <v>79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>
      <c r="A91" s="30" t="s">
        <v>79</v>
      </c>
      <c r="B91" s="30"/>
      <c r="C91" s="30" t="s">
        <v>79</v>
      </c>
      <c r="D91" s="30" t="s">
        <v>79</v>
      </c>
      <c r="E91" s="30"/>
      <c r="F91" s="30" t="s">
        <v>79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>
      <c r="A92" s="30" t="s">
        <v>79</v>
      </c>
      <c r="B92" s="30"/>
      <c r="C92" s="30" t="s">
        <v>79</v>
      </c>
      <c r="D92" s="30" t="s">
        <v>79</v>
      </c>
      <c r="E92" s="30"/>
      <c r="F92" s="30" t="s">
        <v>79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>
      <c r="A93" s="30" t="s">
        <v>79</v>
      </c>
      <c r="B93" s="30"/>
      <c r="C93" s="30" t="s">
        <v>79</v>
      </c>
      <c r="D93" s="30" t="s">
        <v>79</v>
      </c>
      <c r="E93" s="30"/>
      <c r="F93" s="30" t="s">
        <v>79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>
      <c r="A94" s="30" t="s">
        <v>79</v>
      </c>
      <c r="B94" s="30"/>
      <c r="C94" s="30" t="s">
        <v>79</v>
      </c>
      <c r="D94" s="30" t="s">
        <v>79</v>
      </c>
      <c r="E94" s="30"/>
      <c r="F94" s="30" t="s">
        <v>79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>
      <c r="A95" s="30" t="s">
        <v>79</v>
      </c>
      <c r="B95" s="30"/>
      <c r="C95" s="30" t="s">
        <v>79</v>
      </c>
      <c r="D95" s="30" t="s">
        <v>79</v>
      </c>
      <c r="E95" s="30"/>
      <c r="F95" s="30" t="s">
        <v>79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>
      <c r="A96" s="30" t="s">
        <v>79</v>
      </c>
      <c r="B96" s="30"/>
      <c r="C96" s="30" t="s">
        <v>79</v>
      </c>
      <c r="D96" s="30" t="s">
        <v>79</v>
      </c>
      <c r="E96" s="30"/>
      <c r="F96" s="30" t="s">
        <v>79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>
      <c r="A97" s="30" t="s">
        <v>79</v>
      </c>
      <c r="B97" s="30"/>
      <c r="C97" s="30" t="s">
        <v>79</v>
      </c>
      <c r="D97" s="30" t="s">
        <v>79</v>
      </c>
      <c r="E97" s="30"/>
      <c r="F97" s="30" t="s">
        <v>79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>
      <c r="A98" s="30" t="s">
        <v>79</v>
      </c>
      <c r="B98" s="30"/>
      <c r="C98" s="30" t="s">
        <v>79</v>
      </c>
      <c r="D98" s="30" t="s">
        <v>79</v>
      </c>
      <c r="E98" s="30"/>
      <c r="F98" s="30" t="s">
        <v>79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>
      <c r="A99" s="30" t="s">
        <v>79</v>
      </c>
      <c r="B99" s="30"/>
      <c r="C99" s="30" t="s">
        <v>79</v>
      </c>
      <c r="D99" s="30" t="s">
        <v>79</v>
      </c>
      <c r="E99" s="30"/>
      <c r="F99" s="30" t="s">
        <v>79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</row>
    <row r="100">
      <c r="A100" s="30" t="s">
        <v>79</v>
      </c>
      <c r="B100" s="30"/>
      <c r="C100" s="30" t="s">
        <v>79</v>
      </c>
      <c r="D100" s="30" t="s">
        <v>79</v>
      </c>
      <c r="E100" s="30"/>
      <c r="F100" s="30" t="s">
        <v>79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>
      <c r="A101" s="30" t="s">
        <v>79</v>
      </c>
      <c r="B101" s="30"/>
      <c r="C101" s="30" t="s">
        <v>79</v>
      </c>
      <c r="D101" s="30" t="s">
        <v>79</v>
      </c>
      <c r="E101" s="30"/>
      <c r="F101" s="30" t="s">
        <v>79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>
      <c r="A102" s="30" t="s">
        <v>79</v>
      </c>
      <c r="B102" s="30"/>
      <c r="C102" s="30" t="s">
        <v>79</v>
      </c>
      <c r="D102" s="30" t="s">
        <v>79</v>
      </c>
      <c r="E102" s="30"/>
      <c r="F102" s="30" t="s">
        <v>79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>
      <c r="A103" s="30" t="s">
        <v>79</v>
      </c>
      <c r="B103" s="30"/>
      <c r="C103" s="30" t="s">
        <v>79</v>
      </c>
      <c r="D103" s="30" t="s">
        <v>79</v>
      </c>
      <c r="E103" s="30"/>
      <c r="F103" s="30" t="s">
        <v>79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>
      <c r="A104" s="30" t="s">
        <v>79</v>
      </c>
      <c r="B104" s="30"/>
      <c r="C104" s="30" t="s">
        <v>79</v>
      </c>
      <c r="D104" s="30" t="s">
        <v>79</v>
      </c>
      <c r="E104" s="30"/>
      <c r="F104" s="30" t="s">
        <v>79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>
      <c r="A105" s="30" t="s">
        <v>79</v>
      </c>
      <c r="B105" s="30"/>
      <c r="C105" s="30" t="s">
        <v>79</v>
      </c>
      <c r="D105" s="30" t="s">
        <v>79</v>
      </c>
      <c r="E105" s="30"/>
      <c r="F105" s="30" t="s">
        <v>79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</row>
    <row r="106">
      <c r="A106" s="30" t="s">
        <v>79</v>
      </c>
      <c r="B106" s="30"/>
      <c r="C106" s="30" t="s">
        <v>79</v>
      </c>
      <c r="D106" s="30" t="s">
        <v>79</v>
      </c>
      <c r="E106" s="30"/>
      <c r="F106" s="30" t="s">
        <v>79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>
      <c r="A107" s="30" t="s">
        <v>79</v>
      </c>
      <c r="B107" s="30"/>
      <c r="C107" s="30" t="s">
        <v>79</v>
      </c>
      <c r="D107" s="30" t="s">
        <v>79</v>
      </c>
      <c r="E107" s="30"/>
      <c r="F107" s="30" t="s">
        <v>79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>
      <c r="A108" s="30" t="s">
        <v>79</v>
      </c>
      <c r="B108" s="30"/>
      <c r="C108" s="30" t="s">
        <v>79</v>
      </c>
      <c r="D108" s="30" t="s">
        <v>79</v>
      </c>
      <c r="E108" s="30"/>
      <c r="F108" s="30" t="s">
        <v>79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</row>
    <row r="109">
      <c r="A109" s="30" t="s">
        <v>79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>
      <c r="A110" s="30" t="s">
        <v>79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>
      <c r="A111" s="30" t="s">
        <v>79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>
      <c r="A112" s="30" t="s">
        <v>79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>
      <c r="A113" s="30" t="s">
        <v>79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>
      <c r="A114" s="30" t="s">
        <v>79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>
      <c r="A115" s="30" t="s">
        <v>79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>
      <c r="A116" s="30" t="s">
        <v>79</v>
      </c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>
      <c r="A117" s="30" t="s">
        <v>79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</row>
    <row r="118">
      <c r="A118" s="30" t="s">
        <v>79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>
      <c r="A119" s="30" t="s">
        <v>79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>
      <c r="A120" s="30" t="s">
        <v>79</v>
      </c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</row>
    <row r="121">
      <c r="A121" s="30" t="s">
        <v>79</v>
      </c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>
      <c r="A122" s="30" t="s">
        <v>79</v>
      </c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>
      <c r="A123" s="30" t="s">
        <v>79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>
      <c r="A124" s="30" t="s">
        <v>79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>
      <c r="A125" s="30" t="s">
        <v>79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>
      <c r="A126" s="30" t="s">
        <v>79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</row>
    <row r="127">
      <c r="A127" s="30" t="s">
        <v>79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>
      <c r="A128" s="30" t="s">
        <v>79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>
      <c r="A129" s="30" t="s">
        <v>79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</row>
    <row r="130">
      <c r="A130" s="30" t="s">
        <v>79</v>
      </c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>
      <c r="A131" s="30" t="s">
        <v>79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>
      <c r="A132" s="30" t="s">
        <v>79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>
      <c r="A133" s="30" t="s">
        <v>79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>
      <c r="A134" s="30" t="s">
        <v>79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>
      <c r="A135" s="30" t="s">
        <v>79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>
      <c r="A136" s="30" t="s">
        <v>79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>
      <c r="A137" s="30" t="s">
        <v>79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>
      <c r="A138" s="30" t="s">
        <v>79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>
      <c r="A139" s="30" t="s">
        <v>79</v>
      </c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>
      <c r="A140" s="30" t="s">
        <v>79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>
      <c r="A141" s="30" t="s">
        <v>79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>
      <c r="A142" s="30" t="s">
        <v>79</v>
      </c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>
      <c r="A143" s="30" t="s">
        <v>79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>
      <c r="A144" s="30" t="s">
        <v>79</v>
      </c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>
      <c r="A145" s="30" t="s">
        <v>79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>
      <c r="A146" s="30" t="s">
        <v>79</v>
      </c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>
      <c r="A147" s="30" t="s">
        <v>79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>
      <c r="A148" s="30" t="s">
        <v>79</v>
      </c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>
      <c r="A149" s="30" t="s">
        <v>79</v>
      </c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>
      <c r="A150" s="30" t="s">
        <v>79</v>
      </c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</row>
    <row r="151">
      <c r="A151" s="30" t="s">
        <v>79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>
      <c r="A152" s="30" t="s">
        <v>79</v>
      </c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>
      <c r="A153" s="30" t="s">
        <v>79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</row>
    <row r="154">
      <c r="A154" s="30" t="s">
        <v>79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>
      <c r="A155" s="30" t="s">
        <v>79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>
      <c r="A156" s="30" t="s">
        <v>79</v>
      </c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</row>
    <row r="157">
      <c r="A157" s="30" t="s">
        <v>79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>
      <c r="A158" s="30" t="s">
        <v>79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>
      <c r="A159" s="30" t="s">
        <v>79</v>
      </c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</row>
    <row r="160">
      <c r="A160" s="30" t="s">
        <v>79</v>
      </c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>
      <c r="A161" s="30" t="s">
        <v>79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</row>
    <row r="162">
      <c r="A162" s="30" t="s">
        <v>79</v>
      </c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  <row r="163">
      <c r="A163" s="30" t="s">
        <v>79</v>
      </c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>
      <c r="A164" s="30" t="s">
        <v>79</v>
      </c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>
      <c r="A165" s="30" t="s">
        <v>79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</row>
    <row r="166">
      <c r="A166" s="30" t="s">
        <v>79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>
      <c r="A167" s="30" t="s">
        <v>79</v>
      </c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>
      <c r="A168" s="30" t="s">
        <v>79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>
      <c r="A169" s="30" t="s">
        <v>79</v>
      </c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>
      <c r="A170" s="30" t="s">
        <v>79</v>
      </c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>
      <c r="A171" s="30" t="s">
        <v>79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</row>
    <row r="172">
      <c r="A172" s="30" t="s">
        <v>79</v>
      </c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>
      <c r="A173" s="30" t="s">
        <v>79</v>
      </c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>
      <c r="A174" s="30" t="s">
        <v>79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>
      <c r="A175" s="30" t="s">
        <v>79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>
      <c r="A176" s="30" t="s">
        <v>79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>
      <c r="A177" s="30" t="s">
        <v>79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</row>
    <row r="178">
      <c r="A178" s="30" t="s">
        <v>79</v>
      </c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>
      <c r="A179" s="30" t="s">
        <v>79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>
      <c r="A180" s="30" t="s">
        <v>79</v>
      </c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>
      <c r="A181" s="30" t="s">
        <v>79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>
      <c r="A182" s="30" t="s">
        <v>79</v>
      </c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>
      <c r="A183" s="30" t="s">
        <v>79</v>
      </c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>
      <c r="A184" s="30" t="s">
        <v>79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>
      <c r="A185" s="30" t="s">
        <v>79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>
      <c r="A186" s="30" t="s">
        <v>79</v>
      </c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</row>
    <row r="187">
      <c r="A187" s="30" t="s">
        <v>79</v>
      </c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>
      <c r="A188" s="30" t="s">
        <v>79</v>
      </c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>
      <c r="A189" s="30" t="s">
        <v>79</v>
      </c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</row>
    <row r="190">
      <c r="A190" s="30" t="s">
        <v>79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>
      <c r="A191" s="30" t="s">
        <v>79</v>
      </c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>
      <c r="A192" s="30" t="s">
        <v>79</v>
      </c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</row>
    <row r="193">
      <c r="A193" s="30" t="s">
        <v>79</v>
      </c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>
      <c r="A194" s="30" t="s">
        <v>79</v>
      </c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>
      <c r="A195" s="30" t="s">
        <v>79</v>
      </c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>
      <c r="A196" s="30" t="s">
        <v>79</v>
      </c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>
      <c r="A197" s="30" t="s">
        <v>79</v>
      </c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>
      <c r="A198" s="30" t="s">
        <v>79</v>
      </c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</row>
    <row r="199">
      <c r="A199" s="30" t="s">
        <v>79</v>
      </c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>
      <c r="A200" s="30" t="s">
        <v>79</v>
      </c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>
      <c r="A201" s="30" t="s">
        <v>79</v>
      </c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</row>
    <row r="202">
      <c r="A202" s="30" t="s">
        <v>79</v>
      </c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>
      <c r="A203" s="30" t="s">
        <v>79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>
      <c r="A204" s="30" t="s">
        <v>79</v>
      </c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>
      <c r="A205" s="30" t="s">
        <v>79</v>
      </c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>
      <c r="A206" s="30" t="s">
        <v>79</v>
      </c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>
      <c r="A207" s="30" t="s">
        <v>79</v>
      </c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</row>
    <row r="208">
      <c r="A208" s="30" t="s">
        <v>79</v>
      </c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>
      <c r="A209" s="30" t="s">
        <v>79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</row>
    <row r="210">
      <c r="A210" s="30" t="s">
        <v>79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</row>
    <row r="211">
      <c r="A211" s="30" t="s">
        <v>79</v>
      </c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>
      <c r="A212" s="30" t="s">
        <v>79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>
      <c r="A213" s="30" t="s">
        <v>79</v>
      </c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</row>
    <row r="214">
      <c r="A214" s="30" t="s">
        <v>79</v>
      </c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>
      <c r="A215" s="30" t="s">
        <v>79</v>
      </c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>
      <c r="A216" s="30" t="s">
        <v>79</v>
      </c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</row>
    <row r="217">
      <c r="A217" s="30" t="s">
        <v>79</v>
      </c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>
      <c r="A218" s="30" t="s">
        <v>79</v>
      </c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</row>
    <row r="219">
      <c r="A219" s="30" t="s">
        <v>79</v>
      </c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</row>
    <row r="220">
      <c r="A220" s="30" t="s">
        <v>79</v>
      </c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>
      <c r="A221" s="30" t="s">
        <v>79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</row>
    <row r="222">
      <c r="A222" s="30" t="s">
        <v>79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</row>
    <row r="223">
      <c r="A223" s="30" t="s">
        <v>79</v>
      </c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>
      <c r="A224" s="30" t="s">
        <v>79</v>
      </c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</row>
    <row r="225">
      <c r="A225" s="30" t="s">
        <v>79</v>
      </c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</row>
    <row r="226">
      <c r="A226" s="30" t="s">
        <v>79</v>
      </c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>
      <c r="A227" s="30" t="s">
        <v>79</v>
      </c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</row>
    <row r="228">
      <c r="A228" s="30" t="s">
        <v>79</v>
      </c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</row>
    <row r="229">
      <c r="A229" s="30" t="s">
        <v>79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>
      <c r="A230" s="30" t="s">
        <v>79</v>
      </c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</row>
    <row r="231">
      <c r="A231" s="30" t="s">
        <v>79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</row>
    <row r="232">
      <c r="A232" s="30" t="s">
        <v>79</v>
      </c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>
      <c r="A233" s="30" t="s">
        <v>79</v>
      </c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</row>
    <row r="234">
      <c r="A234" s="30" t="s">
        <v>79</v>
      </c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</row>
    <row r="235">
      <c r="A235" s="30" t="s">
        <v>79</v>
      </c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>
      <c r="A236" s="30" t="s">
        <v>79</v>
      </c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</row>
    <row r="237">
      <c r="A237" s="30" t="s">
        <v>79</v>
      </c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</row>
    <row r="238">
      <c r="A238" s="30" t="s">
        <v>79</v>
      </c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>
      <c r="A239" s="30" t="s">
        <v>79</v>
      </c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</row>
    <row r="240">
      <c r="A240" s="30" t="s">
        <v>79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</row>
    <row r="241">
      <c r="A241" s="30" t="s">
        <v>79</v>
      </c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>
      <c r="A242" s="30" t="s">
        <v>79</v>
      </c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</row>
    <row r="243">
      <c r="A243" s="30" t="s">
        <v>79</v>
      </c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</row>
    <row r="244">
      <c r="A244" s="30" t="s">
        <v>79</v>
      </c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>
      <c r="A245" s="30" t="s">
        <v>79</v>
      </c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</row>
    <row r="246">
      <c r="A246" s="30" t="s">
        <v>79</v>
      </c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</row>
    <row r="247">
      <c r="A247" s="30" t="s">
        <v>79</v>
      </c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>
      <c r="A248" s="30" t="s">
        <v>79</v>
      </c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</row>
    <row r="249">
      <c r="A249" s="30" t="s">
        <v>79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</row>
    <row r="250">
      <c r="A250" s="30" t="s">
        <v>79</v>
      </c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>
      <c r="A251" s="30" t="s">
        <v>79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</row>
    <row r="252">
      <c r="A252" s="30" t="s">
        <v>79</v>
      </c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</row>
    <row r="253">
      <c r="A253" s="30" t="s">
        <v>79</v>
      </c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>
      <c r="A254" s="30" t="s">
        <v>79</v>
      </c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</row>
    <row r="255">
      <c r="A255" s="30" t="s">
        <v>79</v>
      </c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</row>
    <row r="256">
      <c r="A256" s="30" t="s">
        <v>79</v>
      </c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>
      <c r="A257" s="30" t="s">
        <v>79</v>
      </c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</row>
    <row r="258">
      <c r="A258" s="30" t="s">
        <v>79</v>
      </c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</row>
    <row r="259">
      <c r="A259" s="30" t="s">
        <v>79</v>
      </c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>
      <c r="A260" s="30" t="s">
        <v>79</v>
      </c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</row>
    <row r="261">
      <c r="A261" s="30" t="s">
        <v>79</v>
      </c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</row>
    <row r="262">
      <c r="A262" s="30" t="s">
        <v>79</v>
      </c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>
      <c r="A263" s="30" t="s">
        <v>79</v>
      </c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</row>
    <row r="264">
      <c r="A264" s="30" t="s">
        <v>79</v>
      </c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</row>
    <row r="265">
      <c r="A265" s="30" t="s">
        <v>79</v>
      </c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>
      <c r="A266" s="30" t="s">
        <v>79</v>
      </c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</row>
    <row r="267">
      <c r="A267" s="30" t="s">
        <v>79</v>
      </c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</row>
    <row r="268">
      <c r="A268" s="30" t="s">
        <v>79</v>
      </c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>
      <c r="A269" s="30" t="s">
        <v>79</v>
      </c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>
      <c r="A270" s="30" t="s">
        <v>79</v>
      </c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</row>
    <row r="271">
      <c r="A271" s="30" t="s">
        <v>79</v>
      </c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>
      <c r="A272" s="30" t="s">
        <v>79</v>
      </c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>
      <c r="A273" s="30" t="s">
        <v>79</v>
      </c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</row>
    <row r="274">
      <c r="A274" s="30" t="s">
        <v>79</v>
      </c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>
      <c r="A275" s="30" t="s">
        <v>79</v>
      </c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</row>
    <row r="276">
      <c r="A276" s="30" t="s">
        <v>79</v>
      </c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</row>
    <row r="277">
      <c r="A277" s="30" t="s">
        <v>79</v>
      </c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>
      <c r="A278" s="30" t="s">
        <v>79</v>
      </c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</row>
    <row r="279">
      <c r="A279" s="30" t="s">
        <v>79</v>
      </c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</row>
    <row r="280">
      <c r="A280" s="30" t="s">
        <v>79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>
      <c r="A281" s="30" t="s">
        <v>79</v>
      </c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>
      <c r="A282" s="30" t="s">
        <v>79</v>
      </c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</row>
    <row r="283">
      <c r="A283" s="30" t="s">
        <v>79</v>
      </c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>
      <c r="A284" s="30" t="s">
        <v>79</v>
      </c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>
      <c r="A285" s="30" t="s">
        <v>79</v>
      </c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</row>
    <row r="286">
      <c r="A286" s="30" t="s">
        <v>79</v>
      </c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>
      <c r="A287" s="30" t="s">
        <v>79</v>
      </c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>
      <c r="A288" s="30" t="s">
        <v>79</v>
      </c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</row>
    <row r="289">
      <c r="A289" s="30" t="s">
        <v>79</v>
      </c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>
      <c r="A290" s="30" t="s">
        <v>79</v>
      </c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</row>
    <row r="291">
      <c r="A291" s="30" t="s">
        <v>79</v>
      </c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</row>
    <row r="292">
      <c r="A292" s="30" t="s">
        <v>79</v>
      </c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>
      <c r="A293" s="30" t="s">
        <v>79</v>
      </c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</row>
    <row r="294">
      <c r="A294" s="30" t="s">
        <v>79</v>
      </c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</row>
    <row r="295">
      <c r="A295" s="30" t="s">
        <v>79</v>
      </c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>
      <c r="A296" s="30" t="s">
        <v>79</v>
      </c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</row>
    <row r="297">
      <c r="A297" s="30" t="s">
        <v>79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</row>
    <row r="298">
      <c r="A298" s="30" t="s">
        <v>79</v>
      </c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>
      <c r="A299" s="30" t="s">
        <v>79</v>
      </c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</row>
    <row r="300">
      <c r="A300" s="30" t="s">
        <v>79</v>
      </c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</row>
    <row r="301">
      <c r="A301" s="30" t="s">
        <v>79</v>
      </c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>
      <c r="A302" s="30" t="s">
        <v>79</v>
      </c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</row>
    <row r="303">
      <c r="A303" s="30" t="s">
        <v>79</v>
      </c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</row>
    <row r="304">
      <c r="A304" s="30" t="s">
        <v>79</v>
      </c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>
      <c r="A305" s="30" t="s">
        <v>79</v>
      </c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</row>
    <row r="306">
      <c r="A306" s="30" t="s">
        <v>79</v>
      </c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</row>
    <row r="307">
      <c r="A307" s="30" t="s">
        <v>79</v>
      </c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>
      <c r="A308" s="30" t="s">
        <v>79</v>
      </c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</row>
    <row r="309">
      <c r="A309" s="30" t="s">
        <v>79</v>
      </c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</row>
    <row r="310">
      <c r="A310" s="30" t="s">
        <v>79</v>
      </c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>
      <c r="A311" s="30" t="s">
        <v>79</v>
      </c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</row>
    <row r="312">
      <c r="A312" s="30" t="s">
        <v>79</v>
      </c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</row>
    <row r="313">
      <c r="A313" s="30" t="s">
        <v>79</v>
      </c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>
      <c r="A314" s="30" t="s">
        <v>79</v>
      </c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</row>
    <row r="315">
      <c r="A315" s="30" t="s">
        <v>79</v>
      </c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</row>
    <row r="316">
      <c r="A316" s="30" t="s">
        <v>79</v>
      </c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>
      <c r="A317" s="30" t="s">
        <v>79</v>
      </c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</row>
    <row r="318">
      <c r="A318" s="30" t="s">
        <v>79</v>
      </c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</row>
    <row r="319">
      <c r="A319" s="30" t="s">
        <v>79</v>
      </c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>
      <c r="A320" s="30" t="s">
        <v>79</v>
      </c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</row>
    <row r="321">
      <c r="A321" s="30" t="s">
        <v>79</v>
      </c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</row>
    <row r="322">
      <c r="A322" s="30" t="s">
        <v>79</v>
      </c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>
      <c r="A323" s="30" t="s">
        <v>79</v>
      </c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</row>
    <row r="324">
      <c r="A324" s="30" t="s">
        <v>79</v>
      </c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</row>
    <row r="325">
      <c r="A325" s="30" t="s">
        <v>79</v>
      </c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</row>
    <row r="326">
      <c r="A326" s="30" t="s">
        <v>79</v>
      </c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</row>
    <row r="327">
      <c r="A327" s="30" t="s">
        <v>79</v>
      </c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</row>
    <row r="328">
      <c r="A328" s="30" t="s">
        <v>79</v>
      </c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</row>
    <row r="329">
      <c r="A329" s="30" t="s">
        <v>79</v>
      </c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</row>
    <row r="330">
      <c r="A330" s="30" t="s">
        <v>79</v>
      </c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</row>
    <row r="331">
      <c r="A331" s="30" t="s">
        <v>79</v>
      </c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</row>
    <row r="332">
      <c r="A332" s="30" t="s">
        <v>79</v>
      </c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</row>
    <row r="333">
      <c r="A333" s="30" t="s">
        <v>79</v>
      </c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</row>
    <row r="334">
      <c r="A334" s="30" t="s">
        <v>79</v>
      </c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</row>
    <row r="335">
      <c r="A335" s="30" t="s">
        <v>79</v>
      </c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</row>
    <row r="336">
      <c r="A336" s="30" t="s">
        <v>79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</row>
    <row r="337">
      <c r="A337" s="30" t="s">
        <v>79</v>
      </c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</row>
    <row r="338">
      <c r="A338" s="30" t="s">
        <v>79</v>
      </c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</row>
    <row r="339">
      <c r="A339" s="30" t="s">
        <v>79</v>
      </c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</row>
    <row r="340">
      <c r="A340" s="30" t="s">
        <v>79</v>
      </c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</row>
    <row r="341">
      <c r="A341" s="30" t="s">
        <v>79</v>
      </c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</row>
    <row r="342">
      <c r="A342" s="30" t="s">
        <v>79</v>
      </c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</row>
    <row r="343">
      <c r="A343" s="30" t="s">
        <v>79</v>
      </c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</row>
    <row r="344">
      <c r="A344" s="30" t="s">
        <v>79</v>
      </c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</row>
    <row r="345">
      <c r="A345" s="30" t="s">
        <v>79</v>
      </c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</row>
    <row r="346">
      <c r="A346" s="30" t="s">
        <v>79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</row>
    <row r="347">
      <c r="A347" s="30" t="s">
        <v>79</v>
      </c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</row>
    <row r="348">
      <c r="A348" s="30" t="s">
        <v>79</v>
      </c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</row>
    <row r="349">
      <c r="A349" s="30" t="s">
        <v>79</v>
      </c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</row>
    <row r="350">
      <c r="A350" s="30" t="s">
        <v>79</v>
      </c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</row>
    <row r="351">
      <c r="A351" s="30" t="s">
        <v>79</v>
      </c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</row>
    <row r="352">
      <c r="A352" s="30" t="s">
        <v>79</v>
      </c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</row>
    <row r="353">
      <c r="A353" s="30" t="s">
        <v>79</v>
      </c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</row>
    <row r="354">
      <c r="A354" s="30" t="s">
        <v>79</v>
      </c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</row>
    <row r="355">
      <c r="A355" s="30" t="s">
        <v>79</v>
      </c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</row>
    <row r="356">
      <c r="A356" s="30" t="s">
        <v>79</v>
      </c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</row>
    <row r="357">
      <c r="A357" s="30" t="s">
        <v>79</v>
      </c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</row>
    <row r="358">
      <c r="A358" s="30" t="s">
        <v>79</v>
      </c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</row>
    <row r="359">
      <c r="A359" s="30" t="s">
        <v>79</v>
      </c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</row>
    <row r="360">
      <c r="A360" s="30" t="s">
        <v>79</v>
      </c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</row>
    <row r="361">
      <c r="A361" s="30" t="s">
        <v>79</v>
      </c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</row>
    <row r="362">
      <c r="A362" s="30" t="s">
        <v>79</v>
      </c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</row>
    <row r="363">
      <c r="A363" s="30" t="s">
        <v>79</v>
      </c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</row>
    <row r="364">
      <c r="A364" s="30" t="s">
        <v>79</v>
      </c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</row>
    <row r="365">
      <c r="A365" s="30" t="s">
        <v>79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</row>
    <row r="366">
      <c r="A366" s="30" t="s">
        <v>79</v>
      </c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</row>
    <row r="367">
      <c r="A367" s="30" t="s">
        <v>79</v>
      </c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</row>
    <row r="368">
      <c r="A368" s="30" t="s">
        <v>79</v>
      </c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</row>
    <row r="369">
      <c r="A369" s="30" t="s">
        <v>79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</row>
    <row r="370">
      <c r="A370" s="30" t="s">
        <v>79</v>
      </c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</row>
    <row r="371">
      <c r="A371" s="30" t="s">
        <v>79</v>
      </c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</row>
    <row r="372">
      <c r="A372" s="30" t="s">
        <v>79</v>
      </c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</row>
    <row r="373">
      <c r="A373" s="30" t="s">
        <v>79</v>
      </c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</row>
    <row r="374">
      <c r="A374" s="30" t="s">
        <v>79</v>
      </c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</row>
    <row r="375">
      <c r="A375" s="30" t="s">
        <v>79</v>
      </c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</row>
    <row r="376">
      <c r="A376" s="30" t="s">
        <v>79</v>
      </c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</row>
    <row r="377">
      <c r="A377" s="30" t="s">
        <v>79</v>
      </c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</row>
    <row r="378">
      <c r="A378" s="30" t="s">
        <v>79</v>
      </c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</row>
    <row r="379">
      <c r="A379" s="30" t="s">
        <v>79</v>
      </c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</row>
    <row r="380">
      <c r="A380" s="30" t="s">
        <v>79</v>
      </c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</row>
    <row r="381">
      <c r="A381" s="30" t="s">
        <v>79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</row>
    <row r="382">
      <c r="A382" s="30" t="s">
        <v>79</v>
      </c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</row>
    <row r="383">
      <c r="A383" s="30" t="s">
        <v>79</v>
      </c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</row>
    <row r="384">
      <c r="A384" s="30" t="s">
        <v>79</v>
      </c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</row>
    <row r="385">
      <c r="A385" s="30" t="s">
        <v>79</v>
      </c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</row>
    <row r="386">
      <c r="A386" s="30" t="s">
        <v>79</v>
      </c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</row>
    <row r="387">
      <c r="A387" s="30" t="s">
        <v>79</v>
      </c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</row>
    <row r="388">
      <c r="A388" s="30" t="s">
        <v>79</v>
      </c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</row>
    <row r="389">
      <c r="A389" s="30" t="s">
        <v>79</v>
      </c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</row>
    <row r="390">
      <c r="A390" s="30" t="s">
        <v>79</v>
      </c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</row>
    <row r="391">
      <c r="A391" s="30" t="s">
        <v>79</v>
      </c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</row>
    <row r="392">
      <c r="A392" s="30" t="s">
        <v>79</v>
      </c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</row>
    <row r="393">
      <c r="A393" s="30" t="s">
        <v>79</v>
      </c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</row>
    <row r="394">
      <c r="A394" s="30" t="s">
        <v>79</v>
      </c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</row>
    <row r="395">
      <c r="A395" s="30" t="s">
        <v>79</v>
      </c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</row>
    <row r="396">
      <c r="A396" s="30" t="s">
        <v>79</v>
      </c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</row>
    <row r="397">
      <c r="A397" s="30" t="s">
        <v>79</v>
      </c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</row>
    <row r="398">
      <c r="A398" s="30" t="s">
        <v>79</v>
      </c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</row>
    <row r="399">
      <c r="A399" s="30" t="s">
        <v>79</v>
      </c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</row>
    <row r="400">
      <c r="A400" s="30" t="s">
        <v>79</v>
      </c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</row>
    <row r="401">
      <c r="A401" s="30" t="s">
        <v>79</v>
      </c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</row>
    <row r="402">
      <c r="A402" s="30" t="s">
        <v>79</v>
      </c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</row>
    <row r="403">
      <c r="A403" s="30" t="s">
        <v>79</v>
      </c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</row>
    <row r="404">
      <c r="A404" s="30" t="s">
        <v>79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</row>
    <row r="405">
      <c r="A405" s="30" t="s">
        <v>79</v>
      </c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</row>
    <row r="406">
      <c r="A406" s="30" t="s">
        <v>79</v>
      </c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</row>
    <row r="407">
      <c r="A407" s="30" t="s">
        <v>79</v>
      </c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</row>
    <row r="408">
      <c r="A408" s="30" t="s">
        <v>79</v>
      </c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</row>
    <row r="409">
      <c r="A409" s="30" t="s">
        <v>79</v>
      </c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</row>
    <row r="410">
      <c r="A410" s="30" t="s">
        <v>79</v>
      </c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</row>
    <row r="411">
      <c r="A411" s="30" t="s">
        <v>79</v>
      </c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</row>
    <row r="412">
      <c r="A412" s="30" t="s">
        <v>79</v>
      </c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</row>
    <row r="413">
      <c r="A413" s="30" t="s">
        <v>79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</row>
    <row r="414">
      <c r="A414" s="30" t="s">
        <v>79</v>
      </c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</row>
    <row r="415">
      <c r="A415" s="30" t="s">
        <v>79</v>
      </c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</row>
    <row r="416">
      <c r="A416" s="30" t="s">
        <v>79</v>
      </c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</row>
    <row r="417">
      <c r="A417" s="30" t="s">
        <v>79</v>
      </c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</row>
    <row r="418">
      <c r="A418" s="30" t="s">
        <v>79</v>
      </c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</row>
    <row r="419">
      <c r="A419" s="30" t="s">
        <v>79</v>
      </c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</row>
    <row r="420">
      <c r="A420" s="30" t="s">
        <v>79</v>
      </c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</row>
    <row r="421">
      <c r="A421" s="30" t="s">
        <v>79</v>
      </c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</row>
    <row r="422">
      <c r="A422" s="30" t="s">
        <v>79</v>
      </c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</row>
    <row r="423">
      <c r="A423" s="30" t="s">
        <v>79</v>
      </c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</row>
    <row r="424">
      <c r="A424" s="30" t="s">
        <v>79</v>
      </c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</row>
    <row r="425">
      <c r="A425" s="30" t="s">
        <v>79</v>
      </c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</row>
    <row r="426">
      <c r="A426" s="30" t="s">
        <v>79</v>
      </c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</row>
    <row r="427">
      <c r="A427" s="30" t="s">
        <v>79</v>
      </c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</row>
    <row r="428">
      <c r="A428" s="30" t="s">
        <v>79</v>
      </c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</row>
    <row r="429">
      <c r="A429" s="30" t="s">
        <v>79</v>
      </c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</row>
    <row r="430">
      <c r="A430" s="30" t="s">
        <v>79</v>
      </c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</row>
    <row r="431">
      <c r="A431" s="30" t="s">
        <v>79</v>
      </c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</row>
    <row r="432">
      <c r="A432" s="30" t="s">
        <v>79</v>
      </c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</row>
    <row r="433">
      <c r="A433" s="30" t="s">
        <v>79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</row>
    <row r="434">
      <c r="A434" s="30" t="s">
        <v>79</v>
      </c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</row>
    <row r="435">
      <c r="A435" s="30" t="s">
        <v>79</v>
      </c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</row>
    <row r="436">
      <c r="A436" s="30" t="s">
        <v>79</v>
      </c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</row>
    <row r="437">
      <c r="A437" s="30" t="s">
        <v>79</v>
      </c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</row>
    <row r="438">
      <c r="A438" s="30" t="s">
        <v>79</v>
      </c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</row>
    <row r="439">
      <c r="A439" s="30" t="s">
        <v>79</v>
      </c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</row>
    <row r="440">
      <c r="A440" s="30" t="s">
        <v>79</v>
      </c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</row>
    <row r="441">
      <c r="A441" s="30" t="s">
        <v>79</v>
      </c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</row>
    <row r="442">
      <c r="A442" s="30" t="s">
        <v>79</v>
      </c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</row>
    <row r="443">
      <c r="A443" s="30" t="s">
        <v>79</v>
      </c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</row>
    <row r="444">
      <c r="A444" s="30" t="s">
        <v>79</v>
      </c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</row>
    <row r="445">
      <c r="A445" s="30" t="s">
        <v>79</v>
      </c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</row>
    <row r="446">
      <c r="A446" s="30" t="s">
        <v>79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</row>
    <row r="447">
      <c r="A447" s="30" t="s">
        <v>79</v>
      </c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</row>
    <row r="448">
      <c r="A448" s="30" t="s">
        <v>79</v>
      </c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</row>
    <row r="449">
      <c r="A449" s="30" t="s">
        <v>79</v>
      </c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</row>
    <row r="450">
      <c r="A450" s="30" t="s">
        <v>79</v>
      </c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</row>
    <row r="451">
      <c r="A451" s="30" t="s">
        <v>79</v>
      </c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</row>
    <row r="452">
      <c r="A452" s="30" t="s">
        <v>79</v>
      </c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</row>
    <row r="453">
      <c r="A453" s="30" t="s">
        <v>79</v>
      </c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</row>
    <row r="454">
      <c r="A454" s="30" t="s">
        <v>79</v>
      </c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</row>
    <row r="455">
      <c r="A455" s="30" t="s">
        <v>79</v>
      </c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</row>
    <row r="456">
      <c r="A456" s="30" t="s">
        <v>79</v>
      </c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</row>
    <row r="457">
      <c r="A457" s="30" t="s">
        <v>79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</row>
    <row r="458">
      <c r="A458" s="30" t="s">
        <v>79</v>
      </c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</row>
    <row r="459">
      <c r="A459" s="30" t="s">
        <v>79</v>
      </c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</row>
    <row r="460">
      <c r="A460" s="30" t="s">
        <v>79</v>
      </c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</row>
    <row r="461">
      <c r="A461" s="30" t="s">
        <v>79</v>
      </c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</row>
    <row r="462">
      <c r="A462" s="30" t="s">
        <v>79</v>
      </c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</row>
    <row r="463">
      <c r="A463" s="30" t="s">
        <v>79</v>
      </c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</row>
    <row r="464">
      <c r="A464" s="30" t="s">
        <v>79</v>
      </c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</row>
    <row r="465">
      <c r="A465" s="30" t="s">
        <v>79</v>
      </c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</row>
    <row r="466">
      <c r="A466" s="30" t="s">
        <v>79</v>
      </c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</row>
    <row r="467">
      <c r="A467" s="30" t="s">
        <v>79</v>
      </c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</row>
    <row r="468">
      <c r="A468" s="30" t="s">
        <v>79</v>
      </c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</row>
    <row r="469">
      <c r="A469" s="30" t="s">
        <v>79</v>
      </c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</row>
    <row r="470">
      <c r="A470" s="30" t="s">
        <v>79</v>
      </c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</row>
    <row r="471">
      <c r="A471" s="30" t="s">
        <v>79</v>
      </c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</row>
    <row r="472">
      <c r="A472" s="30" t="s">
        <v>79</v>
      </c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</row>
    <row r="473">
      <c r="A473" s="30" t="s">
        <v>79</v>
      </c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</row>
    <row r="474">
      <c r="A474" s="30" t="s">
        <v>79</v>
      </c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</row>
    <row r="475">
      <c r="A475" s="30" t="s">
        <v>79</v>
      </c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</row>
    <row r="476">
      <c r="A476" s="30" t="s">
        <v>79</v>
      </c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</row>
    <row r="477">
      <c r="A477" s="30" t="s">
        <v>79</v>
      </c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</row>
    <row r="478">
      <c r="A478" s="30" t="s">
        <v>79</v>
      </c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</row>
    <row r="479">
      <c r="A479" s="30" t="s">
        <v>79</v>
      </c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</row>
    <row r="480">
      <c r="A480" s="30" t="s">
        <v>79</v>
      </c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</row>
    <row r="481">
      <c r="A481" s="30" t="s">
        <v>79</v>
      </c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</row>
    <row r="482">
      <c r="A482" s="30" t="s">
        <v>79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</row>
    <row r="483">
      <c r="A483" s="30" t="s">
        <v>79</v>
      </c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</row>
    <row r="484">
      <c r="A484" s="30" t="s">
        <v>79</v>
      </c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</row>
    <row r="485">
      <c r="A485" s="30" t="s">
        <v>79</v>
      </c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</row>
    <row r="486">
      <c r="A486" s="30" t="s">
        <v>79</v>
      </c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</row>
    <row r="487">
      <c r="A487" s="30" t="s">
        <v>79</v>
      </c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</row>
    <row r="488">
      <c r="A488" s="30" t="s">
        <v>79</v>
      </c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</row>
    <row r="489">
      <c r="A489" s="30" t="s">
        <v>79</v>
      </c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</row>
    <row r="490">
      <c r="A490" s="30" t="s">
        <v>79</v>
      </c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</row>
    <row r="491">
      <c r="A491" s="30" t="s">
        <v>79</v>
      </c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</row>
    <row r="492">
      <c r="A492" s="30" t="s">
        <v>79</v>
      </c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</row>
    <row r="493">
      <c r="A493" s="30" t="s">
        <v>79</v>
      </c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</row>
    <row r="494">
      <c r="A494" s="30" t="s">
        <v>79</v>
      </c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</row>
    <row r="495">
      <c r="A495" s="30" t="s">
        <v>79</v>
      </c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</row>
    <row r="496">
      <c r="A496" s="30" t="s">
        <v>79</v>
      </c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</row>
    <row r="497">
      <c r="A497" s="30" t="s">
        <v>79</v>
      </c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</row>
    <row r="498">
      <c r="A498" s="30" t="s">
        <v>79</v>
      </c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</row>
    <row r="499">
      <c r="A499" s="30" t="s">
        <v>79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</row>
    <row r="500">
      <c r="A500" s="30" t="s">
        <v>79</v>
      </c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</row>
    <row r="501">
      <c r="A501" s="30" t="s">
        <v>79</v>
      </c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</row>
    <row r="502">
      <c r="A502" s="30" t="s">
        <v>79</v>
      </c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</row>
    <row r="503">
      <c r="A503" s="30" t="s">
        <v>79</v>
      </c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</row>
    <row r="504">
      <c r="A504" s="30" t="s">
        <v>79</v>
      </c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</row>
    <row r="505">
      <c r="A505" s="30" t="s">
        <v>79</v>
      </c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</row>
    <row r="506">
      <c r="A506" s="30" t="s">
        <v>79</v>
      </c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</row>
    <row r="507">
      <c r="A507" s="30" t="s">
        <v>79</v>
      </c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</row>
    <row r="508">
      <c r="A508" s="30" t="s">
        <v>79</v>
      </c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</row>
    <row r="509">
      <c r="A509" s="30" t="s">
        <v>79</v>
      </c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</row>
    <row r="510">
      <c r="A510" s="30" t="s">
        <v>79</v>
      </c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</row>
    <row r="511">
      <c r="A511" s="30" t="s">
        <v>79</v>
      </c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</row>
    <row r="512">
      <c r="A512" s="30" t="s">
        <v>79</v>
      </c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</row>
    <row r="513">
      <c r="A513" s="30" t="s">
        <v>79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</row>
    <row r="514">
      <c r="A514" s="30" t="s">
        <v>79</v>
      </c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</row>
    <row r="515">
      <c r="A515" s="30" t="s">
        <v>79</v>
      </c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</row>
    <row r="516">
      <c r="A516" s="30" t="s">
        <v>79</v>
      </c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</row>
    <row r="517">
      <c r="A517" s="30" t="s">
        <v>79</v>
      </c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</row>
    <row r="518">
      <c r="A518" s="30" t="s">
        <v>79</v>
      </c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</row>
    <row r="519">
      <c r="A519" s="30" t="s">
        <v>79</v>
      </c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</row>
    <row r="520">
      <c r="A520" s="30" t="s">
        <v>79</v>
      </c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</row>
    <row r="521">
      <c r="A521" s="30" t="s">
        <v>79</v>
      </c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</row>
    <row r="522">
      <c r="A522" s="30" t="s">
        <v>79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</row>
    <row r="523">
      <c r="A523" s="30" t="s">
        <v>79</v>
      </c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</row>
    <row r="524">
      <c r="A524" s="30" t="s">
        <v>79</v>
      </c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</row>
    <row r="525">
      <c r="A525" s="30" t="s">
        <v>79</v>
      </c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</row>
    <row r="526">
      <c r="A526" s="30" t="s">
        <v>79</v>
      </c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</row>
    <row r="527">
      <c r="A527" s="30" t="s">
        <v>79</v>
      </c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</row>
    <row r="528">
      <c r="A528" s="30" t="s">
        <v>79</v>
      </c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</row>
    <row r="529">
      <c r="A529" s="30" t="s">
        <v>79</v>
      </c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</row>
    <row r="530">
      <c r="A530" s="30" t="s">
        <v>79</v>
      </c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</row>
    <row r="531">
      <c r="A531" s="30" t="s">
        <v>79</v>
      </c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</row>
    <row r="532">
      <c r="A532" s="30" t="s">
        <v>79</v>
      </c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</row>
    <row r="533">
      <c r="A533" s="30" t="s">
        <v>79</v>
      </c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</row>
    <row r="534">
      <c r="A534" s="30" t="s">
        <v>79</v>
      </c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</row>
    <row r="535">
      <c r="A535" s="30" t="s">
        <v>79</v>
      </c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</row>
    <row r="536">
      <c r="A536" s="30" t="s">
        <v>79</v>
      </c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</row>
    <row r="537">
      <c r="A537" s="30" t="s">
        <v>79</v>
      </c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</row>
    <row r="538">
      <c r="A538" s="30" t="s">
        <v>79</v>
      </c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</row>
    <row r="539">
      <c r="A539" s="30" t="s">
        <v>79</v>
      </c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</row>
    <row r="540">
      <c r="A540" s="30" t="s">
        <v>79</v>
      </c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</row>
    <row r="541">
      <c r="A541" s="30" t="s">
        <v>79</v>
      </c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</row>
    <row r="542">
      <c r="A542" s="30" t="s">
        <v>79</v>
      </c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</row>
    <row r="543">
      <c r="A543" s="30" t="s">
        <v>79</v>
      </c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</row>
    <row r="544">
      <c r="A544" s="30" t="s">
        <v>79</v>
      </c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</row>
    <row r="545">
      <c r="A545" s="30" t="s">
        <v>79</v>
      </c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</row>
    <row r="546">
      <c r="A546" s="30" t="s">
        <v>79</v>
      </c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</row>
    <row r="547">
      <c r="A547" s="30" t="s">
        <v>79</v>
      </c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</row>
    <row r="548">
      <c r="A548" s="30" t="s">
        <v>79</v>
      </c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</row>
    <row r="549">
      <c r="A549" s="30" t="s">
        <v>79</v>
      </c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</row>
    <row r="550">
      <c r="A550" s="30" t="s">
        <v>79</v>
      </c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</row>
    <row r="551">
      <c r="A551" s="30" t="s">
        <v>79</v>
      </c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</row>
    <row r="552">
      <c r="A552" s="30" t="s">
        <v>79</v>
      </c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</row>
    <row r="553">
      <c r="A553" s="30" t="s">
        <v>79</v>
      </c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</row>
    <row r="554">
      <c r="A554" s="30" t="s">
        <v>79</v>
      </c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</row>
    <row r="555">
      <c r="A555" s="30" t="s">
        <v>79</v>
      </c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</row>
    <row r="556">
      <c r="A556" s="30" t="s">
        <v>79</v>
      </c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</row>
    <row r="557">
      <c r="A557" s="30" t="s">
        <v>79</v>
      </c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</row>
    <row r="558">
      <c r="A558" s="30" t="s">
        <v>79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</row>
    <row r="559">
      <c r="A559" s="30" t="s">
        <v>79</v>
      </c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</row>
    <row r="560">
      <c r="A560" s="30" t="s">
        <v>79</v>
      </c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</row>
    <row r="561">
      <c r="A561" s="30" t="s">
        <v>79</v>
      </c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</row>
    <row r="562">
      <c r="A562" s="30" t="s">
        <v>79</v>
      </c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</row>
    <row r="563">
      <c r="A563" s="30" t="s">
        <v>79</v>
      </c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</row>
    <row r="564">
      <c r="A564" s="30" t="s">
        <v>79</v>
      </c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</row>
    <row r="565">
      <c r="A565" s="30" t="s">
        <v>79</v>
      </c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</row>
    <row r="566">
      <c r="A566" s="30" t="s">
        <v>79</v>
      </c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</row>
    <row r="567">
      <c r="A567" s="30" t="s">
        <v>79</v>
      </c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</row>
    <row r="568">
      <c r="A568" s="30" t="s">
        <v>79</v>
      </c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</row>
    <row r="569">
      <c r="A569" s="30" t="s">
        <v>79</v>
      </c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</row>
    <row r="570">
      <c r="A570" s="30" t="s">
        <v>79</v>
      </c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</row>
    <row r="571">
      <c r="A571" s="30" t="s">
        <v>79</v>
      </c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</row>
    <row r="572">
      <c r="A572" s="30" t="s">
        <v>79</v>
      </c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</row>
    <row r="573">
      <c r="A573" s="30" t="s">
        <v>79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</row>
    <row r="574">
      <c r="A574" s="30" t="s">
        <v>79</v>
      </c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</row>
    <row r="575">
      <c r="A575" s="30" t="s">
        <v>79</v>
      </c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</row>
    <row r="576">
      <c r="A576" s="30" t="s">
        <v>79</v>
      </c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</row>
    <row r="577">
      <c r="A577" s="30" t="s">
        <v>79</v>
      </c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</row>
    <row r="578">
      <c r="A578" s="30" t="s">
        <v>79</v>
      </c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</row>
    <row r="579">
      <c r="A579" s="30" t="s">
        <v>79</v>
      </c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</row>
    <row r="580">
      <c r="A580" s="30" t="s">
        <v>79</v>
      </c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</row>
    <row r="581">
      <c r="A581" s="30" t="s">
        <v>79</v>
      </c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</row>
    <row r="582">
      <c r="A582" s="30" t="s">
        <v>79</v>
      </c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</row>
    <row r="583">
      <c r="A583" s="30" t="s">
        <v>79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</row>
    <row r="584">
      <c r="A584" s="30" t="s">
        <v>79</v>
      </c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</row>
    <row r="585">
      <c r="A585" s="30" t="s">
        <v>79</v>
      </c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</row>
    <row r="586">
      <c r="A586" s="30" t="s">
        <v>79</v>
      </c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</row>
    <row r="587">
      <c r="A587" s="30" t="s">
        <v>79</v>
      </c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</row>
    <row r="588">
      <c r="A588" s="30" t="s">
        <v>79</v>
      </c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</row>
    <row r="589">
      <c r="A589" s="30" t="s">
        <v>79</v>
      </c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</row>
    <row r="590">
      <c r="A590" s="30" t="s">
        <v>79</v>
      </c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</row>
    <row r="591">
      <c r="A591" s="30" t="s">
        <v>79</v>
      </c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</row>
    <row r="592">
      <c r="A592" s="30" t="s">
        <v>79</v>
      </c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</row>
    <row r="593">
      <c r="A593" s="30" t="s">
        <v>79</v>
      </c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</row>
    <row r="594">
      <c r="A594" s="30" t="s">
        <v>79</v>
      </c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</row>
    <row r="595">
      <c r="A595" s="30" t="s">
        <v>79</v>
      </c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</row>
    <row r="596">
      <c r="A596" s="30" t="s">
        <v>79</v>
      </c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</row>
    <row r="597">
      <c r="A597" s="30" t="s">
        <v>79</v>
      </c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</row>
    <row r="598">
      <c r="A598" s="30" t="s">
        <v>79</v>
      </c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</row>
    <row r="599">
      <c r="A599" s="30" t="s">
        <v>79</v>
      </c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</row>
    <row r="600">
      <c r="A600" s="30" t="s">
        <v>79</v>
      </c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</row>
    <row r="601">
      <c r="A601" s="30" t="s">
        <v>79</v>
      </c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</row>
    <row r="602">
      <c r="A602" s="30" t="s">
        <v>79</v>
      </c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</row>
    <row r="603">
      <c r="A603" s="30" t="s">
        <v>79</v>
      </c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</row>
    <row r="604">
      <c r="A604" s="30" t="s">
        <v>79</v>
      </c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</row>
    <row r="605">
      <c r="A605" s="30" t="s">
        <v>79</v>
      </c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</row>
    <row r="606">
      <c r="A606" s="30" t="s">
        <v>79</v>
      </c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</row>
    <row r="607">
      <c r="A607" s="30" t="s">
        <v>79</v>
      </c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</row>
    <row r="608">
      <c r="A608" s="30" t="s">
        <v>79</v>
      </c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</row>
    <row r="609">
      <c r="A609" s="30" t="s">
        <v>79</v>
      </c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</row>
    <row r="610">
      <c r="A610" s="30" t="s">
        <v>79</v>
      </c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</row>
    <row r="611">
      <c r="A611" s="30" t="s">
        <v>79</v>
      </c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</row>
    <row r="612">
      <c r="A612" s="30" t="s">
        <v>79</v>
      </c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</row>
    <row r="613">
      <c r="A613" s="30" t="s">
        <v>79</v>
      </c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</row>
    <row r="614">
      <c r="A614" s="30" t="s">
        <v>79</v>
      </c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</row>
    <row r="615">
      <c r="A615" s="30" t="s">
        <v>79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</row>
    <row r="616">
      <c r="A616" s="30" t="s">
        <v>79</v>
      </c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</row>
    <row r="617">
      <c r="A617" s="30" t="s">
        <v>79</v>
      </c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</row>
    <row r="618">
      <c r="A618" s="30" t="s">
        <v>79</v>
      </c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</row>
    <row r="619">
      <c r="A619" s="30" t="s">
        <v>79</v>
      </c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</row>
    <row r="620">
      <c r="A620" s="30" t="s">
        <v>79</v>
      </c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</row>
    <row r="621">
      <c r="A621" s="30" t="s">
        <v>79</v>
      </c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</row>
    <row r="622">
      <c r="A622" s="30" t="s">
        <v>79</v>
      </c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</row>
    <row r="623">
      <c r="A623" s="30" t="s">
        <v>79</v>
      </c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</row>
    <row r="624">
      <c r="A624" s="30" t="s">
        <v>79</v>
      </c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</row>
    <row r="625">
      <c r="A625" s="30" t="s">
        <v>79</v>
      </c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</row>
    <row r="626">
      <c r="A626" s="30" t="s">
        <v>79</v>
      </c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</row>
    <row r="627">
      <c r="A627" s="30" t="s">
        <v>79</v>
      </c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</row>
    <row r="628">
      <c r="A628" s="30" t="s">
        <v>79</v>
      </c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</row>
    <row r="629">
      <c r="A629" s="30" t="s">
        <v>79</v>
      </c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</row>
    <row r="630">
      <c r="A630" s="30" t="s">
        <v>79</v>
      </c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</row>
    <row r="631">
      <c r="A631" s="30" t="s">
        <v>79</v>
      </c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</row>
    <row r="632">
      <c r="A632" s="30" t="s">
        <v>79</v>
      </c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</row>
    <row r="633">
      <c r="A633" s="30" t="s">
        <v>79</v>
      </c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</row>
    <row r="634">
      <c r="A634" s="30" t="s">
        <v>79</v>
      </c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</row>
    <row r="635">
      <c r="A635" s="30" t="s">
        <v>79</v>
      </c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</row>
    <row r="636">
      <c r="A636" s="30" t="s">
        <v>79</v>
      </c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</row>
    <row r="637">
      <c r="A637" s="30" t="s">
        <v>79</v>
      </c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</row>
    <row r="638">
      <c r="A638" s="30" t="s">
        <v>79</v>
      </c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</row>
    <row r="639">
      <c r="A639" s="30" t="s">
        <v>79</v>
      </c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</row>
    <row r="640">
      <c r="A640" s="30" t="s">
        <v>79</v>
      </c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</row>
    <row r="641">
      <c r="A641" s="30" t="s">
        <v>79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</row>
    <row r="642">
      <c r="A642" s="30" t="s">
        <v>79</v>
      </c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</row>
    <row r="643">
      <c r="A643" s="30" t="s">
        <v>79</v>
      </c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</row>
    <row r="644">
      <c r="A644" s="30" t="s">
        <v>79</v>
      </c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</row>
    <row r="645">
      <c r="A645" s="30" t="s">
        <v>79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</row>
    <row r="646">
      <c r="A646" s="30" t="s">
        <v>79</v>
      </c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</row>
    <row r="647">
      <c r="A647" s="30" t="s">
        <v>79</v>
      </c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</row>
    <row r="648">
      <c r="A648" s="30" t="s">
        <v>79</v>
      </c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</row>
    <row r="649">
      <c r="A649" s="30" t="s">
        <v>79</v>
      </c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</row>
    <row r="650">
      <c r="A650" s="30" t="s">
        <v>79</v>
      </c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</row>
    <row r="651">
      <c r="A651" s="30" t="s">
        <v>79</v>
      </c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</row>
    <row r="652">
      <c r="A652" s="30" t="s">
        <v>79</v>
      </c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</row>
    <row r="653">
      <c r="A653" s="30" t="s">
        <v>79</v>
      </c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</row>
    <row r="654">
      <c r="A654" s="30" t="s">
        <v>79</v>
      </c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</row>
    <row r="655">
      <c r="A655" s="30" t="s">
        <v>79</v>
      </c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</row>
    <row r="656">
      <c r="A656" s="30" t="s">
        <v>79</v>
      </c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</row>
    <row r="657">
      <c r="A657" s="30" t="s">
        <v>79</v>
      </c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</row>
    <row r="658">
      <c r="A658" s="30" t="s">
        <v>79</v>
      </c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</row>
    <row r="659">
      <c r="A659" s="30" t="s">
        <v>79</v>
      </c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</row>
    <row r="660">
      <c r="A660" s="30" t="s">
        <v>79</v>
      </c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</row>
    <row r="661">
      <c r="A661" s="30" t="s">
        <v>79</v>
      </c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</row>
    <row r="662">
      <c r="A662" s="30" t="s">
        <v>79</v>
      </c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</row>
    <row r="663">
      <c r="A663" s="30" t="s">
        <v>79</v>
      </c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</row>
    <row r="664">
      <c r="A664" s="30" t="s">
        <v>79</v>
      </c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</row>
    <row r="665">
      <c r="A665" s="30" t="s">
        <v>79</v>
      </c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</row>
    <row r="666">
      <c r="A666" s="30" t="s">
        <v>79</v>
      </c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</row>
    <row r="667">
      <c r="A667" s="30" t="s">
        <v>79</v>
      </c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</row>
    <row r="668">
      <c r="A668" s="30" t="s">
        <v>79</v>
      </c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</row>
    <row r="669">
      <c r="A669" s="30" t="s">
        <v>79</v>
      </c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</row>
    <row r="670">
      <c r="A670" s="30" t="s">
        <v>79</v>
      </c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</row>
    <row r="671">
      <c r="A671" s="30" t="s">
        <v>79</v>
      </c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</row>
    <row r="672">
      <c r="A672" s="30" t="s">
        <v>79</v>
      </c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</row>
    <row r="673">
      <c r="A673" s="30" t="s">
        <v>79</v>
      </c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</row>
    <row r="674">
      <c r="A674" s="30" t="s">
        <v>79</v>
      </c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</row>
    <row r="675">
      <c r="A675" s="30" t="s">
        <v>79</v>
      </c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</row>
    <row r="676">
      <c r="A676" s="30" t="s">
        <v>79</v>
      </c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</row>
    <row r="677">
      <c r="A677" s="30" t="s">
        <v>79</v>
      </c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</row>
    <row r="678">
      <c r="A678" s="30" t="s">
        <v>79</v>
      </c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</row>
    <row r="679">
      <c r="A679" s="30" t="s">
        <v>79</v>
      </c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</row>
    <row r="680">
      <c r="A680" s="30" t="s">
        <v>79</v>
      </c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</row>
    <row r="681">
      <c r="A681" s="30" t="s">
        <v>79</v>
      </c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</row>
    <row r="682">
      <c r="A682" s="30" t="s">
        <v>79</v>
      </c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</row>
    <row r="683">
      <c r="A683" s="30" t="s">
        <v>79</v>
      </c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</row>
    <row r="684">
      <c r="A684" s="30" t="s">
        <v>79</v>
      </c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</row>
    <row r="685">
      <c r="A685" s="30" t="s">
        <v>79</v>
      </c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</row>
    <row r="686">
      <c r="A686" s="30" t="s">
        <v>79</v>
      </c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</row>
    <row r="687">
      <c r="A687" s="30" t="s">
        <v>79</v>
      </c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</row>
    <row r="688">
      <c r="A688" s="30" t="s">
        <v>79</v>
      </c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</row>
    <row r="689">
      <c r="A689" s="30" t="s">
        <v>79</v>
      </c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</row>
    <row r="690">
      <c r="A690" s="30" t="s">
        <v>79</v>
      </c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</row>
    <row r="691">
      <c r="A691" s="30" t="s">
        <v>79</v>
      </c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</row>
    <row r="692">
      <c r="A692" s="30" t="s">
        <v>79</v>
      </c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</row>
    <row r="693">
      <c r="A693" s="30" t="s">
        <v>79</v>
      </c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</row>
    <row r="694">
      <c r="A694" s="30" t="s">
        <v>79</v>
      </c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</row>
    <row r="695">
      <c r="A695" s="30" t="s">
        <v>79</v>
      </c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</row>
    <row r="696">
      <c r="A696" s="30" t="s">
        <v>79</v>
      </c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</row>
    <row r="697">
      <c r="A697" s="30" t="s">
        <v>79</v>
      </c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</row>
    <row r="698">
      <c r="A698" s="30" t="s">
        <v>79</v>
      </c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</row>
    <row r="699">
      <c r="A699" s="30" t="s">
        <v>79</v>
      </c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</row>
    <row r="700">
      <c r="A700" s="30" t="s">
        <v>79</v>
      </c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</row>
    <row r="701">
      <c r="A701" s="30" t="s">
        <v>79</v>
      </c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</row>
    <row r="702">
      <c r="A702" s="30" t="s">
        <v>79</v>
      </c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</row>
    <row r="703">
      <c r="A703" s="30" t="s">
        <v>79</v>
      </c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</row>
    <row r="704">
      <c r="A704" s="30" t="s">
        <v>79</v>
      </c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</row>
    <row r="705">
      <c r="A705" s="30" t="s">
        <v>79</v>
      </c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</row>
    <row r="706">
      <c r="A706" s="30" t="s">
        <v>79</v>
      </c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</row>
    <row r="707">
      <c r="A707" s="30" t="s">
        <v>79</v>
      </c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</row>
    <row r="708">
      <c r="A708" s="30" t="s">
        <v>79</v>
      </c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</row>
    <row r="709">
      <c r="A709" s="30" t="s">
        <v>79</v>
      </c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</row>
    <row r="710">
      <c r="A710" s="30" t="s">
        <v>79</v>
      </c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</row>
    <row r="711">
      <c r="A711" s="30" t="s">
        <v>79</v>
      </c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</row>
    <row r="712">
      <c r="A712" s="30" t="s">
        <v>79</v>
      </c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</row>
    <row r="713">
      <c r="A713" s="30" t="s">
        <v>79</v>
      </c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</row>
    <row r="714">
      <c r="A714" s="30" t="s">
        <v>79</v>
      </c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</row>
    <row r="715">
      <c r="A715" s="30" t="s">
        <v>79</v>
      </c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</row>
    <row r="716">
      <c r="A716" s="30" t="s">
        <v>79</v>
      </c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</row>
    <row r="717">
      <c r="A717" s="30" t="s">
        <v>79</v>
      </c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</row>
    <row r="718">
      <c r="A718" s="30" t="s">
        <v>79</v>
      </c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</row>
    <row r="719">
      <c r="A719" s="30" t="s">
        <v>79</v>
      </c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</row>
    <row r="720">
      <c r="A720" s="30" t="s">
        <v>79</v>
      </c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</row>
    <row r="721">
      <c r="A721" s="30" t="s">
        <v>79</v>
      </c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</row>
    <row r="722">
      <c r="A722" s="30" t="s">
        <v>79</v>
      </c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</row>
    <row r="723">
      <c r="A723" s="30" t="s">
        <v>79</v>
      </c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</row>
    <row r="724">
      <c r="A724" s="30" t="s">
        <v>79</v>
      </c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</row>
    <row r="725">
      <c r="A725" s="30" t="s">
        <v>79</v>
      </c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</row>
    <row r="726">
      <c r="A726" s="30" t="s">
        <v>79</v>
      </c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</row>
    <row r="727">
      <c r="A727" s="30" t="s">
        <v>79</v>
      </c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</row>
    <row r="728">
      <c r="A728" s="30" t="s">
        <v>79</v>
      </c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</row>
    <row r="729">
      <c r="A729" s="30" t="s">
        <v>79</v>
      </c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</row>
    <row r="730">
      <c r="A730" s="30" t="s">
        <v>79</v>
      </c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</row>
    <row r="731">
      <c r="A731" s="30" t="s">
        <v>79</v>
      </c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</row>
    <row r="732">
      <c r="A732" s="30" t="s">
        <v>79</v>
      </c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</row>
    <row r="733">
      <c r="A733" s="30" t="s">
        <v>79</v>
      </c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</row>
    <row r="734">
      <c r="A734" s="30" t="s">
        <v>79</v>
      </c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</row>
    <row r="735">
      <c r="A735" s="30" t="s">
        <v>79</v>
      </c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</row>
    <row r="736">
      <c r="A736" s="30" t="s">
        <v>79</v>
      </c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</row>
    <row r="737">
      <c r="A737" s="30" t="s">
        <v>79</v>
      </c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</row>
    <row r="738">
      <c r="A738" s="30" t="s">
        <v>79</v>
      </c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</row>
    <row r="739">
      <c r="A739" s="30" t="s">
        <v>79</v>
      </c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</row>
    <row r="740">
      <c r="A740" s="30" t="s">
        <v>79</v>
      </c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</row>
    <row r="741">
      <c r="A741" s="30" t="s">
        <v>79</v>
      </c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</row>
    <row r="742">
      <c r="A742" s="30" t="s">
        <v>79</v>
      </c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</row>
    <row r="743">
      <c r="A743" s="30" t="s">
        <v>79</v>
      </c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</row>
    <row r="744">
      <c r="A744" s="30" t="s">
        <v>79</v>
      </c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</row>
    <row r="745">
      <c r="A745" s="30" t="s">
        <v>79</v>
      </c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</row>
    <row r="746">
      <c r="A746" s="30" t="s">
        <v>79</v>
      </c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</row>
    <row r="747">
      <c r="A747" s="30" t="s">
        <v>79</v>
      </c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</row>
    <row r="748">
      <c r="A748" s="30" t="s">
        <v>79</v>
      </c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</row>
    <row r="749">
      <c r="A749" s="30" t="s">
        <v>79</v>
      </c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</row>
    <row r="750">
      <c r="A750" s="30" t="s">
        <v>79</v>
      </c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</row>
    <row r="751">
      <c r="A751" s="30" t="s">
        <v>79</v>
      </c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</row>
    <row r="752">
      <c r="A752" s="30" t="s">
        <v>79</v>
      </c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</row>
    <row r="753">
      <c r="A753" s="30" t="s">
        <v>79</v>
      </c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</row>
    <row r="754">
      <c r="A754" s="30" t="s">
        <v>79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</row>
    <row r="755">
      <c r="A755" s="30" t="s">
        <v>79</v>
      </c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</row>
    <row r="756">
      <c r="A756" s="30" t="s">
        <v>79</v>
      </c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</row>
    <row r="757">
      <c r="A757" s="30" t="s">
        <v>79</v>
      </c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</row>
    <row r="758">
      <c r="A758" s="30" t="s">
        <v>79</v>
      </c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</row>
    <row r="759">
      <c r="A759" s="30" t="s">
        <v>79</v>
      </c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</row>
    <row r="760">
      <c r="A760" s="30" t="s">
        <v>79</v>
      </c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</row>
    <row r="761">
      <c r="A761" s="30" t="s">
        <v>79</v>
      </c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</row>
    <row r="762">
      <c r="A762" s="30" t="s">
        <v>79</v>
      </c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</row>
    <row r="763">
      <c r="A763" s="30" t="s">
        <v>79</v>
      </c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</row>
    <row r="764">
      <c r="A764" s="30" t="s">
        <v>79</v>
      </c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</row>
    <row r="765">
      <c r="A765" s="30" t="s">
        <v>79</v>
      </c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</row>
    <row r="766">
      <c r="A766" s="30" t="s">
        <v>79</v>
      </c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</row>
    <row r="767">
      <c r="A767" s="30" t="s">
        <v>79</v>
      </c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</row>
    <row r="768">
      <c r="A768" s="30" t="s">
        <v>79</v>
      </c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</row>
    <row r="769">
      <c r="A769" s="30" t="s">
        <v>79</v>
      </c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</row>
    <row r="770">
      <c r="A770" s="30" t="s">
        <v>79</v>
      </c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</row>
    <row r="771">
      <c r="A771" s="30" t="s">
        <v>79</v>
      </c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</row>
    <row r="772">
      <c r="A772" s="30" t="s">
        <v>79</v>
      </c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</row>
    <row r="773">
      <c r="A773" s="30" t="s">
        <v>79</v>
      </c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</row>
    <row r="774">
      <c r="A774" s="30" t="s">
        <v>79</v>
      </c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</row>
    <row r="775">
      <c r="A775" s="30" t="s">
        <v>79</v>
      </c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</row>
    <row r="776">
      <c r="A776" s="30" t="s">
        <v>79</v>
      </c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</row>
    <row r="777">
      <c r="A777" s="30" t="s">
        <v>79</v>
      </c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</row>
    <row r="778">
      <c r="A778" s="30" t="s">
        <v>79</v>
      </c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</row>
    <row r="779">
      <c r="A779" s="30" t="s">
        <v>79</v>
      </c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</row>
    <row r="780">
      <c r="A780" s="30" t="s">
        <v>79</v>
      </c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</row>
    <row r="781">
      <c r="A781" s="30" t="s">
        <v>79</v>
      </c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</row>
    <row r="782">
      <c r="A782" s="30" t="s">
        <v>79</v>
      </c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</row>
    <row r="783">
      <c r="A783" s="30" t="s">
        <v>79</v>
      </c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</row>
    <row r="784">
      <c r="A784" s="30" t="s">
        <v>79</v>
      </c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</row>
    <row r="785">
      <c r="A785" s="30" t="s">
        <v>79</v>
      </c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</row>
    <row r="786">
      <c r="A786" s="30" t="s">
        <v>79</v>
      </c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</row>
    <row r="787">
      <c r="A787" s="30" t="s">
        <v>79</v>
      </c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</row>
    <row r="788">
      <c r="A788" s="30" t="s">
        <v>79</v>
      </c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</row>
    <row r="789">
      <c r="A789" s="30" t="s">
        <v>79</v>
      </c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</row>
    <row r="790">
      <c r="A790" s="30" t="s">
        <v>79</v>
      </c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</row>
    <row r="791">
      <c r="A791" s="30" t="s">
        <v>79</v>
      </c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</row>
    <row r="792">
      <c r="A792" s="30" t="s">
        <v>79</v>
      </c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</row>
    <row r="793">
      <c r="A793" s="30" t="s">
        <v>79</v>
      </c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</row>
    <row r="794">
      <c r="A794" s="30" t="s">
        <v>79</v>
      </c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</row>
    <row r="795">
      <c r="A795" s="30" t="s">
        <v>79</v>
      </c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</row>
    <row r="796">
      <c r="A796" s="30" t="s">
        <v>79</v>
      </c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</row>
    <row r="797">
      <c r="A797" s="30" t="s">
        <v>79</v>
      </c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</row>
    <row r="798">
      <c r="A798" s="30" t="s">
        <v>79</v>
      </c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</row>
    <row r="799">
      <c r="A799" s="30" t="s">
        <v>79</v>
      </c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</row>
    <row r="800">
      <c r="A800" s="30" t="s">
        <v>79</v>
      </c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</row>
    <row r="801">
      <c r="A801" s="30" t="s">
        <v>79</v>
      </c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</row>
    <row r="802">
      <c r="A802" s="30" t="s">
        <v>79</v>
      </c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</row>
    <row r="803">
      <c r="A803" s="30" t="s">
        <v>79</v>
      </c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</row>
    <row r="804">
      <c r="A804" s="30" t="s">
        <v>79</v>
      </c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</row>
    <row r="805">
      <c r="A805" s="30" t="s">
        <v>79</v>
      </c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</row>
    <row r="806">
      <c r="A806" s="30" t="s">
        <v>79</v>
      </c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</row>
    <row r="807">
      <c r="A807" s="30" t="s">
        <v>79</v>
      </c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</row>
    <row r="808">
      <c r="A808" s="30" t="s">
        <v>79</v>
      </c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</row>
    <row r="809">
      <c r="A809" s="30" t="s">
        <v>79</v>
      </c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</row>
    <row r="810">
      <c r="A810" s="30" t="s">
        <v>79</v>
      </c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</row>
    <row r="811">
      <c r="A811" s="30" t="s">
        <v>79</v>
      </c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</row>
    <row r="812">
      <c r="A812" s="30" t="s">
        <v>79</v>
      </c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</row>
    <row r="813">
      <c r="A813" s="30" t="s">
        <v>79</v>
      </c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</row>
    <row r="814">
      <c r="A814" s="30" t="s">
        <v>79</v>
      </c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</row>
    <row r="815">
      <c r="A815" s="30" t="s">
        <v>79</v>
      </c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</row>
    <row r="816">
      <c r="A816" s="30" t="s">
        <v>79</v>
      </c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</row>
    <row r="817">
      <c r="A817" s="30" t="s">
        <v>79</v>
      </c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</row>
    <row r="818">
      <c r="A818" s="30" t="s">
        <v>79</v>
      </c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</row>
    <row r="819">
      <c r="A819" s="30" t="s">
        <v>79</v>
      </c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</row>
    <row r="820">
      <c r="A820" s="30" t="s">
        <v>79</v>
      </c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</row>
    <row r="821">
      <c r="A821" s="30" t="s">
        <v>79</v>
      </c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</row>
    <row r="822">
      <c r="A822" s="30" t="s">
        <v>79</v>
      </c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</row>
    <row r="823">
      <c r="A823" s="30" t="s">
        <v>79</v>
      </c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</row>
    <row r="824">
      <c r="A824" s="30" t="s">
        <v>79</v>
      </c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</row>
    <row r="825">
      <c r="A825" s="30" t="s">
        <v>79</v>
      </c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</row>
    <row r="826">
      <c r="A826" s="30" t="s">
        <v>79</v>
      </c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</row>
    <row r="827">
      <c r="A827" s="30" t="s">
        <v>79</v>
      </c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</row>
    <row r="828">
      <c r="A828" s="30" t="s">
        <v>79</v>
      </c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</row>
    <row r="829">
      <c r="A829" s="30" t="s">
        <v>79</v>
      </c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</row>
    <row r="830">
      <c r="A830" s="30" t="s">
        <v>79</v>
      </c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</row>
    <row r="831">
      <c r="A831" s="30" t="s">
        <v>79</v>
      </c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</row>
    <row r="832">
      <c r="A832" s="30" t="s">
        <v>79</v>
      </c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</row>
    <row r="833">
      <c r="A833" s="30" t="s">
        <v>79</v>
      </c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</row>
    <row r="834">
      <c r="A834" s="30" t="s">
        <v>79</v>
      </c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</row>
    <row r="835">
      <c r="A835" s="30" t="s">
        <v>79</v>
      </c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</row>
    <row r="836">
      <c r="A836" s="30" t="s">
        <v>79</v>
      </c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</row>
    <row r="837">
      <c r="A837" s="30" t="s">
        <v>79</v>
      </c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</row>
    <row r="838">
      <c r="A838" s="30" t="s">
        <v>79</v>
      </c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</row>
    <row r="839">
      <c r="A839" s="30" t="s">
        <v>79</v>
      </c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</row>
    <row r="840">
      <c r="A840" s="30" t="s">
        <v>79</v>
      </c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</row>
    <row r="841">
      <c r="A841" s="30" t="s">
        <v>79</v>
      </c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</row>
    <row r="842">
      <c r="A842" s="30" t="s">
        <v>79</v>
      </c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</row>
    <row r="843">
      <c r="A843" s="30" t="s">
        <v>79</v>
      </c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</row>
    <row r="844">
      <c r="A844" s="30" t="s">
        <v>79</v>
      </c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</row>
    <row r="845">
      <c r="A845" s="30" t="s">
        <v>79</v>
      </c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</row>
    <row r="846">
      <c r="A846" s="30" t="s">
        <v>79</v>
      </c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</row>
    <row r="847">
      <c r="A847" s="30" t="s">
        <v>79</v>
      </c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</row>
    <row r="848">
      <c r="A848" s="30" t="s">
        <v>79</v>
      </c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</row>
    <row r="849">
      <c r="A849" s="30" t="s">
        <v>79</v>
      </c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</row>
    <row r="850">
      <c r="A850" s="30" t="s">
        <v>79</v>
      </c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</row>
    <row r="851">
      <c r="A851" s="30" t="s">
        <v>79</v>
      </c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</row>
    <row r="852">
      <c r="A852" s="30" t="s">
        <v>79</v>
      </c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</row>
    <row r="853">
      <c r="A853" s="30" t="s">
        <v>79</v>
      </c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</row>
    <row r="854">
      <c r="A854" s="30" t="s">
        <v>79</v>
      </c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</row>
    <row r="855">
      <c r="A855" s="30" t="s">
        <v>79</v>
      </c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</row>
    <row r="856">
      <c r="A856" s="30" t="s">
        <v>79</v>
      </c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</row>
    <row r="857">
      <c r="A857" s="30" t="s">
        <v>79</v>
      </c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</row>
    <row r="858">
      <c r="A858" s="30" t="s">
        <v>79</v>
      </c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</row>
    <row r="859">
      <c r="A859" s="30" t="s">
        <v>79</v>
      </c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</row>
    <row r="860">
      <c r="A860" s="30" t="s">
        <v>79</v>
      </c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</row>
    <row r="861">
      <c r="A861" s="30" t="s">
        <v>79</v>
      </c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</row>
    <row r="862">
      <c r="A862" s="30" t="s">
        <v>79</v>
      </c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</row>
    <row r="863">
      <c r="A863" s="30" t="s">
        <v>79</v>
      </c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</row>
    <row r="864">
      <c r="A864" s="30" t="s">
        <v>79</v>
      </c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</row>
    <row r="865">
      <c r="A865" s="30" t="s">
        <v>79</v>
      </c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</row>
    <row r="866">
      <c r="A866" s="30" t="s">
        <v>79</v>
      </c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</row>
    <row r="867">
      <c r="A867" s="30" t="s">
        <v>79</v>
      </c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</row>
    <row r="868">
      <c r="A868" s="30" t="s">
        <v>79</v>
      </c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</row>
    <row r="869">
      <c r="A869" s="30" t="s">
        <v>79</v>
      </c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</row>
    <row r="870">
      <c r="A870" s="30" t="s">
        <v>79</v>
      </c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</row>
    <row r="871">
      <c r="A871" s="30" t="s">
        <v>79</v>
      </c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</row>
    <row r="872">
      <c r="A872" s="30" t="s">
        <v>79</v>
      </c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</row>
    <row r="873">
      <c r="A873" s="30" t="s">
        <v>79</v>
      </c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</row>
    <row r="874">
      <c r="A874" s="30" t="s">
        <v>79</v>
      </c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</row>
    <row r="875">
      <c r="A875" s="30" t="s">
        <v>79</v>
      </c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</row>
    <row r="876">
      <c r="A876" s="30" t="s">
        <v>79</v>
      </c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</row>
    <row r="877">
      <c r="A877" s="30" t="s">
        <v>79</v>
      </c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</row>
    <row r="878">
      <c r="A878" s="30" t="s">
        <v>79</v>
      </c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</row>
    <row r="879">
      <c r="A879" s="30" t="s">
        <v>79</v>
      </c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</row>
    <row r="880">
      <c r="A880" s="30" t="s">
        <v>79</v>
      </c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</row>
    <row r="881">
      <c r="A881" s="30" t="s">
        <v>79</v>
      </c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</row>
    <row r="882">
      <c r="A882" s="30" t="s">
        <v>79</v>
      </c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</row>
    <row r="883">
      <c r="A883" s="30" t="s">
        <v>79</v>
      </c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</row>
    <row r="884">
      <c r="A884" s="30" t="s">
        <v>79</v>
      </c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</row>
    <row r="885">
      <c r="A885" s="30" t="s">
        <v>79</v>
      </c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</row>
    <row r="886">
      <c r="A886" s="30" t="s">
        <v>79</v>
      </c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</row>
    <row r="887">
      <c r="A887" s="30" t="s">
        <v>79</v>
      </c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</row>
    <row r="888">
      <c r="A888" s="30" t="s">
        <v>79</v>
      </c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</row>
    <row r="889">
      <c r="A889" s="30" t="s">
        <v>79</v>
      </c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</row>
    <row r="890">
      <c r="A890" s="30" t="s">
        <v>79</v>
      </c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</row>
    <row r="891">
      <c r="A891" s="30" t="s">
        <v>79</v>
      </c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</row>
    <row r="892">
      <c r="A892" s="30" t="s">
        <v>79</v>
      </c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</row>
    <row r="893">
      <c r="A893" s="30" t="s">
        <v>79</v>
      </c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</row>
    <row r="894">
      <c r="A894" s="30" t="s">
        <v>79</v>
      </c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</row>
    <row r="895">
      <c r="A895" s="30" t="s">
        <v>79</v>
      </c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</row>
    <row r="896">
      <c r="A896" s="30" t="s">
        <v>79</v>
      </c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</row>
    <row r="897">
      <c r="A897" s="30" t="s">
        <v>79</v>
      </c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</row>
    <row r="898">
      <c r="A898" s="30" t="s">
        <v>79</v>
      </c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</row>
    <row r="899">
      <c r="A899" s="30" t="s">
        <v>79</v>
      </c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</row>
    <row r="900">
      <c r="A900" s="30" t="s">
        <v>79</v>
      </c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</row>
    <row r="901">
      <c r="A901" s="30" t="s">
        <v>79</v>
      </c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</row>
    <row r="902">
      <c r="A902" s="30" t="s">
        <v>79</v>
      </c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</row>
    <row r="903">
      <c r="A903" s="30" t="s">
        <v>79</v>
      </c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</row>
    <row r="904">
      <c r="A904" s="30" t="s">
        <v>79</v>
      </c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</row>
    <row r="905">
      <c r="A905" s="30" t="s">
        <v>79</v>
      </c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</row>
    <row r="906">
      <c r="A906" s="30" t="s">
        <v>79</v>
      </c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</row>
    <row r="907">
      <c r="A907" s="30" t="s">
        <v>79</v>
      </c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</row>
    <row r="908">
      <c r="A908" s="30" t="s">
        <v>79</v>
      </c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</row>
    <row r="909">
      <c r="A909" s="30" t="s">
        <v>79</v>
      </c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</row>
    <row r="910">
      <c r="A910" s="30" t="s">
        <v>79</v>
      </c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</row>
    <row r="911">
      <c r="A911" s="30" t="s">
        <v>79</v>
      </c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</row>
    <row r="912">
      <c r="A912" s="30" t="s">
        <v>79</v>
      </c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</row>
    <row r="913">
      <c r="A913" s="30" t="s">
        <v>79</v>
      </c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</row>
    <row r="914">
      <c r="A914" s="30" t="s">
        <v>79</v>
      </c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</row>
    <row r="915">
      <c r="A915" s="30" t="s">
        <v>79</v>
      </c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</row>
    <row r="916">
      <c r="A916" s="30" t="s">
        <v>79</v>
      </c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</row>
    <row r="917">
      <c r="A917" s="30" t="s">
        <v>79</v>
      </c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</row>
    <row r="918">
      <c r="A918" s="30" t="s">
        <v>79</v>
      </c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</row>
    <row r="919">
      <c r="A919" s="30" t="s">
        <v>79</v>
      </c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</row>
    <row r="920">
      <c r="A920" s="30" t="s">
        <v>79</v>
      </c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</row>
    <row r="921">
      <c r="A921" s="30" t="s">
        <v>79</v>
      </c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</row>
    <row r="922">
      <c r="A922" s="30" t="s">
        <v>79</v>
      </c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</row>
    <row r="923">
      <c r="A923" s="30" t="s">
        <v>79</v>
      </c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</row>
    <row r="924">
      <c r="A924" s="30" t="s">
        <v>79</v>
      </c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</row>
    <row r="925">
      <c r="A925" s="30" t="s">
        <v>79</v>
      </c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</row>
    <row r="926">
      <c r="A926" s="30" t="s">
        <v>79</v>
      </c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</row>
    <row r="927">
      <c r="A927" s="30" t="s">
        <v>79</v>
      </c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</row>
    <row r="928">
      <c r="A928" s="30" t="s">
        <v>79</v>
      </c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</row>
    <row r="929">
      <c r="A929" s="30" t="s">
        <v>79</v>
      </c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</row>
    <row r="930">
      <c r="A930" s="30" t="s">
        <v>79</v>
      </c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</row>
    <row r="931">
      <c r="A931" s="30" t="s">
        <v>79</v>
      </c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</row>
    <row r="932">
      <c r="A932" s="30" t="s">
        <v>79</v>
      </c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</row>
    <row r="933">
      <c r="A933" s="30" t="s">
        <v>79</v>
      </c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</row>
    <row r="934">
      <c r="A934" s="30" t="s">
        <v>79</v>
      </c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</row>
    <row r="935">
      <c r="A935" s="30" t="s">
        <v>79</v>
      </c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</row>
    <row r="936">
      <c r="A936" s="30" t="s">
        <v>79</v>
      </c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</row>
    <row r="937">
      <c r="A937" s="30" t="s">
        <v>79</v>
      </c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</row>
    <row r="938">
      <c r="A938" s="30" t="s">
        <v>79</v>
      </c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</row>
    <row r="939">
      <c r="A939" s="30" t="s">
        <v>79</v>
      </c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</row>
    <row r="940">
      <c r="A940" s="30" t="s">
        <v>79</v>
      </c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</row>
    <row r="941">
      <c r="A941" s="30" t="s">
        <v>79</v>
      </c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</row>
    <row r="942">
      <c r="A942" s="30" t="s">
        <v>79</v>
      </c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</row>
    <row r="943">
      <c r="A943" s="30" t="s">
        <v>79</v>
      </c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</row>
    <row r="944">
      <c r="A944" s="30" t="s">
        <v>79</v>
      </c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</row>
    <row r="945">
      <c r="A945" s="30" t="s">
        <v>79</v>
      </c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</row>
    <row r="946">
      <c r="A946" s="30" t="s">
        <v>79</v>
      </c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</row>
    <row r="947">
      <c r="A947" s="30" t="s">
        <v>79</v>
      </c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</row>
    <row r="948">
      <c r="A948" s="30" t="s">
        <v>79</v>
      </c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</row>
    <row r="949">
      <c r="A949" s="30" t="s">
        <v>79</v>
      </c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</row>
    <row r="950">
      <c r="A950" s="30" t="s">
        <v>79</v>
      </c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</row>
    <row r="951">
      <c r="A951" s="30" t="s">
        <v>79</v>
      </c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</row>
    <row r="952">
      <c r="A952" s="30" t="s">
        <v>79</v>
      </c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</row>
    <row r="953">
      <c r="A953" s="30" t="s">
        <v>79</v>
      </c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</row>
    <row r="954">
      <c r="A954" s="30" t="s">
        <v>79</v>
      </c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</row>
    <row r="955">
      <c r="A955" s="30" t="s">
        <v>79</v>
      </c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</row>
    <row r="956">
      <c r="A956" s="30" t="s">
        <v>79</v>
      </c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</row>
    <row r="957">
      <c r="A957" s="30" t="s">
        <v>79</v>
      </c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</row>
    <row r="958">
      <c r="A958" s="30" t="s">
        <v>79</v>
      </c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</row>
    <row r="959">
      <c r="A959" s="30" t="s">
        <v>79</v>
      </c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</row>
    <row r="960">
      <c r="A960" s="30" t="s">
        <v>79</v>
      </c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</row>
    <row r="961">
      <c r="A961" s="30" t="s">
        <v>79</v>
      </c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</row>
    <row r="962">
      <c r="A962" s="30" t="s">
        <v>79</v>
      </c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</row>
    <row r="963">
      <c r="A963" s="30" t="s">
        <v>79</v>
      </c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</row>
    <row r="964">
      <c r="A964" s="30" t="s">
        <v>79</v>
      </c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</row>
    <row r="965">
      <c r="A965" s="30" t="s">
        <v>79</v>
      </c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</row>
    <row r="966">
      <c r="A966" s="30" t="s">
        <v>79</v>
      </c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</row>
    <row r="967">
      <c r="A967" s="30" t="s">
        <v>79</v>
      </c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</row>
    <row r="968">
      <c r="A968" s="30" t="s">
        <v>79</v>
      </c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</row>
    <row r="969">
      <c r="A969" s="30" t="s">
        <v>79</v>
      </c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</row>
    <row r="970">
      <c r="A970" s="30" t="s">
        <v>79</v>
      </c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</row>
    <row r="971">
      <c r="A971" s="30" t="s">
        <v>79</v>
      </c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</row>
    <row r="972">
      <c r="A972" s="30" t="s">
        <v>79</v>
      </c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</row>
    <row r="973">
      <c r="A973" s="30" t="s">
        <v>79</v>
      </c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</row>
    <row r="974">
      <c r="A974" s="30" t="s">
        <v>79</v>
      </c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</row>
    <row r="975">
      <c r="A975" s="30" t="s">
        <v>79</v>
      </c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</row>
    <row r="976">
      <c r="A976" s="30" t="s">
        <v>79</v>
      </c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</row>
    <row r="977">
      <c r="A977" s="30" t="s">
        <v>79</v>
      </c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</row>
    <row r="978">
      <c r="A978" s="30" t="s">
        <v>79</v>
      </c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</row>
    <row r="979">
      <c r="A979" s="30" t="s">
        <v>79</v>
      </c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</row>
    <row r="980">
      <c r="A980" s="30" t="s">
        <v>79</v>
      </c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</row>
    <row r="981">
      <c r="A981" s="30" t="s">
        <v>79</v>
      </c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</row>
    <row r="982">
      <c r="A982" s="30" t="s">
        <v>79</v>
      </c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</row>
    <row r="983">
      <c r="A983" s="30" t="s">
        <v>79</v>
      </c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</row>
    <row r="984">
      <c r="A984" s="30" t="s">
        <v>79</v>
      </c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</row>
    <row r="985">
      <c r="A985" s="30" t="s">
        <v>79</v>
      </c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</row>
    <row r="986">
      <c r="A986" s="30" t="s">
        <v>79</v>
      </c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</row>
    <row r="987">
      <c r="A987" s="30" t="s">
        <v>79</v>
      </c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</row>
    <row r="988">
      <c r="A988" s="30" t="s">
        <v>79</v>
      </c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</row>
    <row r="989">
      <c r="A989" s="30" t="s">
        <v>79</v>
      </c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</row>
    <row r="990">
      <c r="A990" s="30" t="s">
        <v>79</v>
      </c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</row>
    <row r="991">
      <c r="A991" s="30" t="s">
        <v>79</v>
      </c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</row>
    <row r="992">
      <c r="A992" s="30" t="s">
        <v>79</v>
      </c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</row>
    <row r="993">
      <c r="A993" s="30" t="s">
        <v>79</v>
      </c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</row>
    <row r="994">
      <c r="A994" s="30" t="s">
        <v>79</v>
      </c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</row>
    <row r="995">
      <c r="A995" s="30" t="s">
        <v>79</v>
      </c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</row>
    <row r="996">
      <c r="A996" s="30" t="s">
        <v>79</v>
      </c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</row>
    <row r="997">
      <c r="A997" s="30" t="s">
        <v>79</v>
      </c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</row>
    <row r="998">
      <c r="A998" s="30" t="s">
        <v>79</v>
      </c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</row>
    <row r="999">
      <c r="A999" s="30" t="s">
        <v>79</v>
      </c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</row>
    <row r="1000">
      <c r="A1000" s="30" t="s">
        <v>79</v>
      </c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</row>
  </sheetData>
  <dataValidations>
    <dataValidation type="list" allowBlank="1" showErrorMessage="1" sqref="W2:W1000">
      <formula1>"Pending,Approved,Rejected,Incomplete"</formula1>
    </dataValidation>
    <dataValidation type="list" allowBlank="1" showErrorMessage="1" sqref="X2:X1000">
      <formula1>"Active,Suspended,Terminated,Inactive"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</hyperlinks>
  <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25.13"/>
    <col customWidth="1" min="5" max="7" width="15.13"/>
  </cols>
  <sheetData>
    <row r="1">
      <c r="A1" s="31" t="s">
        <v>65</v>
      </c>
      <c r="B1" s="31" t="s">
        <v>1</v>
      </c>
      <c r="C1" s="31" t="s">
        <v>7</v>
      </c>
      <c r="D1" s="32" t="s">
        <v>84</v>
      </c>
      <c r="E1" s="31" t="s">
        <v>3</v>
      </c>
      <c r="F1" s="32" t="s">
        <v>6</v>
      </c>
      <c r="G1" s="32" t="s">
        <v>67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0" t="str">
        <f>IFERROR(__xludf.DUMMYFUNCTION("FILTER(
{
'Associate Master'!A2:A1000,
'Associate Master'!C2:C1000,
'Associate Master'!I2:I1000,
'Associate Master'!F2:F1000,
'Associate Master'!E2:E1000,
'Associate Master'!H2:H1000,
'Associate Master'!X2:X1000
},
('Associate Master'!W2:W1000=""Approved"&amp;""")*
(('Associate Master'!X2:X1000=""Active"")+('Associate Master'!X2:X1000=""Terminated""))
)"),"EN0001")</f>
        <v>EN0001</v>
      </c>
      <c r="B2" s="30" t="str">
        <f>IFERROR(__xludf.DUMMYFUNCTION("""COMPUTED_VALUE"""),"Sylvia Lee Chee Wei")</f>
        <v>Sylvia Lee Chee Wei</v>
      </c>
      <c r="C2" s="30" t="str">
        <f>IFERROR(__xludf.DUMMYFUNCTION("""COMPUTED_VALUE"""),"Sales Director")</f>
        <v>Sales Director</v>
      </c>
      <c r="D2" s="30" t="str">
        <f>IFERROR(__xludf.DUMMYFUNCTION("""COMPUTED_VALUE"""),"sylvia.lee.cx@gmail.com")</f>
        <v>sylvia.lee.cx@gmail.com</v>
      </c>
      <c r="E2" s="30">
        <f>IFERROR(__xludf.DUMMYFUNCTION("""COMPUTED_VALUE"""),9.6671881E7)</f>
        <v>96671881</v>
      </c>
      <c r="F2" s="34">
        <f>IFERROR(__xludf.DUMMYFUNCTION("""COMPUTED_VALUE"""),23159.0)</f>
        <v>23159</v>
      </c>
      <c r="G2" s="35" t="str">
        <f>IFERROR(__xludf.DUMMYFUNCTION("""COMPUTED_VALUE"""),"Active")</f>
        <v>Active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 t="str">
        <f>IFERROR(__xludf.DUMMYFUNCTION("""COMPUTED_VALUE"""),"EN0002")</f>
        <v>EN0002</v>
      </c>
      <c r="B3" s="30" t="str">
        <f>IFERROR(__xludf.DUMMYFUNCTION("""COMPUTED_VALUE"""),"Lim Xiong")</f>
        <v>Lim Xiong</v>
      </c>
      <c r="C3" s="30" t="str">
        <f>IFERROR(__xludf.DUMMYFUNCTION("""COMPUTED_VALUE"""),"Sales Director")</f>
        <v>Sales Director</v>
      </c>
      <c r="D3" s="30" t="str">
        <f>IFERROR(__xludf.DUMMYFUNCTION("""COMPUTED_VALUE"""),"petafterlifesg@gmail.com")</f>
        <v>petafterlifesg@gmail.com</v>
      </c>
      <c r="E3" s="30">
        <f>IFERROR(__xludf.DUMMYFUNCTION("""COMPUTED_VALUE"""),9.8894508E7)</f>
        <v>98894508</v>
      </c>
      <c r="F3" s="34">
        <f>IFERROR(__xludf.DUMMYFUNCTION("""COMPUTED_VALUE"""),29387.0)</f>
        <v>29387</v>
      </c>
      <c r="G3" s="36" t="str">
        <f>IFERROR(__xludf.DUMMYFUNCTION("""COMPUTED_VALUE"""),"Active")</f>
        <v>Active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 t="str">
        <f>IFERROR(__xludf.DUMMYFUNCTION("""COMPUTED_VALUE"""),"EN0003")</f>
        <v>EN0003</v>
      </c>
      <c r="B4" s="30" t="str">
        <f>IFERROR(__xludf.DUMMYFUNCTION("""COMPUTED_VALUE"""),"Jennifer Rk (Uma Devi Raja Krishnan)")</f>
        <v>Jennifer Rk (Uma Devi Raja Krishnan)</v>
      </c>
      <c r="C4" s="30" t="str">
        <f>IFERROR(__xludf.DUMMYFUNCTION("""COMPUTED_VALUE"""),"Sales Consultant")</f>
        <v>Sales Consultant</v>
      </c>
      <c r="D4" s="30" t="str">
        <f>IFERROR(__xludf.DUMMYFUNCTION("""COMPUTED_VALUE"""),"uma.devi.jennifer@gmail.com")</f>
        <v>uma.devi.jennifer@gmail.com</v>
      </c>
      <c r="E4" s="30">
        <f>IFERROR(__xludf.DUMMYFUNCTION("""COMPUTED_VALUE"""),8.7422156E7)</f>
        <v>87422156</v>
      </c>
      <c r="F4" s="34">
        <f>IFERROR(__xludf.DUMMYFUNCTION("""COMPUTED_VALUE"""),28154.0)</f>
        <v>28154</v>
      </c>
      <c r="G4" s="36" t="str">
        <f>IFERROR(__xludf.DUMMYFUNCTION("""COMPUTED_VALUE"""),"Active")</f>
        <v>Active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 t="str">
        <f>IFERROR(__xludf.DUMMYFUNCTION("""COMPUTED_VALUE"""),"EN0004")</f>
        <v>EN0004</v>
      </c>
      <c r="B5" s="30" t="str">
        <f>IFERROR(__xludf.DUMMYFUNCTION("""COMPUTED_VALUE"""),"Lee Jong Seng")</f>
        <v>Lee Jong Seng</v>
      </c>
      <c r="C5" s="30" t="str">
        <f>IFERROR(__xludf.DUMMYFUNCTION("""COMPUTED_VALUE"""),"Sales Consultant")</f>
        <v>Sales Consultant</v>
      </c>
      <c r="D5" s="30" t="str">
        <f>IFERROR(__xludf.DUMMYFUNCTION("""COMPUTED_VALUE"""),"johnlee@mobilebellator.com")</f>
        <v>johnlee@mobilebellator.com</v>
      </c>
      <c r="E5" s="30">
        <f>IFERROR(__xludf.DUMMYFUNCTION("""COMPUTED_VALUE"""),9.7323288E7)</f>
        <v>97323288</v>
      </c>
      <c r="F5" s="34">
        <f>IFERROR(__xludf.DUMMYFUNCTION("""COMPUTED_VALUE"""),24888.0)</f>
        <v>24888</v>
      </c>
      <c r="G5" s="36" t="str">
        <f>IFERROR(__xludf.DUMMYFUNCTION("""COMPUTED_VALUE"""),"Active")</f>
        <v>Active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 t="str">
        <f>IFERROR(__xludf.DUMMYFUNCTION("""COMPUTED_VALUE"""),"EN0005")</f>
        <v>EN0005</v>
      </c>
      <c r="B6" s="30" t="str">
        <f>IFERROR(__xludf.DUMMYFUNCTION("""COMPUTED_VALUE"""),"Lim Wai Lee")</f>
        <v>Lim Wai Lee</v>
      </c>
      <c r="C6" s="30" t="str">
        <f>IFERROR(__xludf.DUMMYFUNCTION("""COMPUTED_VALUE"""),"Sales Consultant")</f>
        <v>Sales Consultant</v>
      </c>
      <c r="D6" s="30" t="str">
        <f>IFERROR(__xludf.DUMMYFUNCTION("""COMPUTED_VALUE"""),"limwailee8200@gmail.com")</f>
        <v>limwailee8200@gmail.com</v>
      </c>
      <c r="E6" s="30">
        <f>IFERROR(__xludf.DUMMYFUNCTION("""COMPUTED_VALUE"""),8.200139E7)</f>
        <v>82001390</v>
      </c>
      <c r="F6" s="34">
        <f>IFERROR(__xludf.DUMMYFUNCTION("""COMPUTED_VALUE"""),28972.0)</f>
        <v>28972</v>
      </c>
      <c r="G6" s="36" t="str">
        <f>IFERROR(__xludf.DUMMYFUNCTION("""COMPUTED_VALUE"""),"Active")</f>
        <v>Active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 t="str">
        <f>IFERROR(__xludf.DUMMYFUNCTION("""COMPUTED_VALUE"""),"EN0007")</f>
        <v>EN0007</v>
      </c>
      <c r="B7" s="30" t="str">
        <f>IFERROR(__xludf.DUMMYFUNCTION("""COMPUTED_VALUE"""),"Koo Hok Kian")</f>
        <v>Koo Hok Kian</v>
      </c>
      <c r="C7" s="30" t="str">
        <f>IFERROR(__xludf.DUMMYFUNCTION("""COMPUTED_VALUE"""),"Sales Manager")</f>
        <v>Sales Manager</v>
      </c>
      <c r="D7" s="30" t="str">
        <f>IFERROR(__xludf.DUMMYFUNCTION("""COMPUTED_VALUE"""),"franceskoohk@gmail.com")</f>
        <v>franceskoohk@gmail.com</v>
      </c>
      <c r="E7" s="30">
        <f>IFERROR(__xludf.DUMMYFUNCTION("""COMPUTED_VALUE"""),9.222189E7)</f>
        <v>92221890</v>
      </c>
      <c r="F7" s="34">
        <f>IFERROR(__xludf.DUMMYFUNCTION("""COMPUTED_VALUE"""),25292.0)</f>
        <v>25292</v>
      </c>
      <c r="G7" s="30" t="str">
        <f>IFERROR(__xludf.DUMMYFUNCTION("""COMPUTED_VALUE"""),"Active")</f>
        <v>Active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25.13"/>
  </cols>
  <sheetData>
    <row r="1">
      <c r="A1" s="37" t="s">
        <v>85</v>
      </c>
      <c r="B1" s="37" t="s">
        <v>86</v>
      </c>
      <c r="C1" s="37" t="s">
        <v>87</v>
      </c>
      <c r="D1" s="37" t="s">
        <v>88</v>
      </c>
      <c r="E1" s="37" t="s">
        <v>89</v>
      </c>
      <c r="F1" s="37" t="s">
        <v>90</v>
      </c>
      <c r="G1" s="37" t="s">
        <v>91</v>
      </c>
      <c r="H1" s="37" t="s">
        <v>91</v>
      </c>
      <c r="I1" s="37" t="s">
        <v>92</v>
      </c>
      <c r="J1" s="37" t="s">
        <v>93</v>
      </c>
      <c r="K1" s="37" t="s">
        <v>20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